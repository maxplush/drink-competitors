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4"/>
    <sheet state="visible" name="Legend &amp; Summary" sheetId="2" r:id="rId5"/>
  </sheets>
  <definedNames>
    <definedName hidden="1" localSheetId="0" name="_xlnm._FilterDatabase">Locations!$A$1:$K$207</definedName>
  </definedNames>
  <calcPr/>
  <extLst>
    <ext uri="GoogleSheetsCustomDataVersion2">
      <go:sheetsCustomData xmlns:go="http://customooxmlschemas.google.com/" r:id="rId6" roundtripDataChecksum="EBinXJxkGzBq1NlIFz61bRlKWCjZoZI+87Kw2WUfToU="/>
    </ext>
  </extLst>
</workbook>
</file>

<file path=xl/sharedStrings.xml><?xml version="1.0" encoding="utf-8"?>
<sst xmlns="http://schemas.openxmlformats.org/spreadsheetml/2006/main" count="1475" uniqueCount="915">
  <si>
    <t>Astra — Competitor + Prospect List</t>
  </si>
  <si>
    <t>#</t>
  </si>
  <si>
    <t>Source: Astra Competitor + Stock List Navigator export (New York filter, 203 of 2,795 locations). Provided by user.</t>
  </si>
  <si>
    <t>Brand</t>
  </si>
  <si>
    <t>Name</t>
  </si>
  <si>
    <t>Address</t>
  </si>
  <si>
    <t>City / Region</t>
  </si>
  <si>
    <t>Type</t>
  </si>
  <si>
    <t>How to use</t>
  </si>
  <si>
    <t>Phone</t>
  </si>
  <si>
    <t>Email</t>
  </si>
  <si>
    <t>Website</t>
  </si>
  <si>
    <t>Needs Review</t>
  </si>
  <si>
    <t>Yellow cells</t>
  </si>
  <si>
    <t>Notes</t>
  </si>
  <si>
    <t>Blank in the source — these are the ones to fill in.</t>
  </si>
  <si>
    <t>Pink 'Needs Review'</t>
  </si>
  <si>
    <t>Flagged for review in the source system. Others are unflagged.</t>
  </si>
  <si>
    <t>NON</t>
  </si>
  <si>
    <t>PLEASE DONT TELL</t>
  </si>
  <si>
    <t>113 Saint Marks Place, New York, New York 10009</t>
  </si>
  <si>
    <t>New York, NY</t>
  </si>
  <si>
    <t>Notes (col K)</t>
  </si>
  <si>
    <t>Cocktail Bar</t>
  </si>
  <si>
    <t>Free text — yours to use however you like.</t>
  </si>
  <si>
    <t>https://www.pdtnyc.com/private-events</t>
  </si>
  <si>
    <t>Filters</t>
  </si>
  <si>
    <t>Row 1 has filters on; the Brand column sorts back to source order via column A.</t>
  </si>
  <si>
    <t>Phone / Email</t>
  </si>
  <si>
    <t>Formatted as text so Excel won't reformat numbers or strip the leading +.</t>
  </si>
  <si>
    <t>Careful with</t>
  </si>
  <si>
    <t>Don't delete rows — the counts below reference the full range A2:K204.</t>
  </si>
  <si>
    <t>Example of the format expected in a filled row</t>
  </si>
  <si>
    <t>https://www.pdtnyc.com/</t>
  </si>
  <si>
    <t>Prospects</t>
  </si>
  <si>
    <t>Rhodora</t>
  </si>
  <si>
    <t>197 Adelphi St, Brooklyn, NY 11205</t>
  </si>
  <si>
    <t>Brooklyn, NY</t>
  </si>
  <si>
    <t>wine bar</t>
  </si>
  <si>
    <t>+1 718-834-8410</t>
  </si>
  <si>
    <t>hello@rhodorawinebar.com</t>
  </si>
  <si>
    <t>www.rhodorawinebar.com</t>
  </si>
  <si>
    <t>(Illustrative only — the phone, email and website above are made up, not researched. Do not copy them into the Locations tab.)</t>
  </si>
  <si>
    <t>Counts by brand</t>
  </si>
  <si>
    <t>Locations</t>
  </si>
  <si>
    <t>Missing phone</t>
  </si>
  <si>
    <t>Missing email</t>
  </si>
  <si>
    <t>Missing website</t>
  </si>
  <si>
    <t>Missing type</t>
  </si>
  <si>
    <t>ROXY HOTEL</t>
  </si>
  <si>
    <t>2 6th Avenue, New York, New York 10013</t>
  </si>
  <si>
    <t>Hotel</t>
  </si>
  <si>
    <t>(212) 519-6600</t>
  </si>
  <si>
    <r>
      <rPr>
        <rFont val="Arial"/>
        <color rgb="FF000000"/>
        <sz val="10.0"/>
      </rPr>
      <t>info@roxyhotelnyc.com</t>
    </r>
    <r>
      <rPr>
        <rFont val="Arial"/>
        <color rgb="FF000000"/>
        <sz val="10.0"/>
      </rPr>
      <t>.</t>
    </r>
  </si>
  <si>
    <t>www.roxyhotelnyc.com</t>
  </si>
  <si>
    <t>ATOMIX</t>
  </si>
  <si>
    <t>104 East 30th Street, New York, New York 10016</t>
  </si>
  <si>
    <t>Korean Restaurant</t>
  </si>
  <si>
    <t>info@atomixnyc.com</t>
  </si>
  <si>
    <t>https://www.atomixnyc.com/</t>
  </si>
  <si>
    <t>CROWN SHY</t>
  </si>
  <si>
    <t>70 Pine Street, Manhattan, NY, 10005</t>
  </si>
  <si>
    <t>Manhattan, NY</t>
  </si>
  <si>
    <t>American Restaurant</t>
  </si>
  <si>
    <t>+1-212-517-1932</t>
  </si>
  <si>
    <t>info@crownshy.nyc.</t>
  </si>
  <si>
    <t>www.crownshy.nyc</t>
  </si>
  <si>
    <t>HAPPIER GROCERY</t>
  </si>
  <si>
    <t>369 Canal Street, New York, New York 10013</t>
  </si>
  <si>
    <t>Grocery Store</t>
  </si>
  <si>
    <t> (212) 837-8015</t>
  </si>
  <si>
    <t>Savoure</t>
  </si>
  <si>
    <t xml:space="preserve">PARTNERSHIPS@HAPPIERGROCERY.COM
</t>
  </si>
  <si>
    <t>Unified Ferments</t>
  </si>
  <si>
    <t>https://www.happiergrocery.com/</t>
  </si>
  <si>
    <t>ROSEMARYS</t>
  </si>
  <si>
    <t>18 Greenwich Ave, New York, NY 10011</t>
  </si>
  <si>
    <t>Italian Restaurant</t>
  </si>
  <si>
    <t>+12126471818</t>
  </si>
  <si>
    <t>info@rosemarysnyc.com</t>
  </si>
  <si>
    <t>https://www.rosemarysnyc.com/location/rosemarys-west-village/</t>
  </si>
  <si>
    <t>SHOSH</t>
  </si>
  <si>
    <t>41 Greenwich Avenue, New York, New York 10014</t>
  </si>
  <si>
    <t>Mediterranean Restaurant</t>
  </si>
  <si>
    <t> (646) 850-0297</t>
  </si>
  <si>
    <t>Total</t>
  </si>
  <si>
    <t>info@shosh.nyc</t>
  </si>
  <si>
    <t>https://www.shosh.nyc/</t>
  </si>
  <si>
    <t>THE MANNER</t>
  </si>
  <si>
    <t>52 Thompson Street, New York, New York 10012</t>
  </si>
  <si>
    <t>Flagged 'Needs Review'</t>
  </si>
  <si>
    <t>Resort hotel</t>
  </si>
  <si>
    <t>(929) 526-3330</t>
  </si>
  <si>
    <t>press@soho.themanner.com</t>
  </si>
  <si>
    <t>https://themanner.com/</t>
  </si>
  <si>
    <t>JUA</t>
  </si>
  <si>
    <t>36 East 22nd Street, New York, New York 10010</t>
  </si>
  <si>
    <r>
      <rPr>
        <rFont val="Arial"/>
        <color rgb="FF9E9E9E"/>
        <sz val="10.0"/>
      </rPr>
      <t> </t>
    </r>
    <r>
      <rPr>
        <rFont val="Arial"/>
        <color rgb="FF9E9E9E"/>
        <sz val="10.0"/>
      </rPr>
      <t>646-590-1598</t>
    </r>
  </si>
  <si>
    <t>info@juanyc.com</t>
  </si>
  <si>
    <t>www.juanyc.com</t>
  </si>
  <si>
    <t>ETC VENUE</t>
  </si>
  <si>
    <t>East 54th Street, New York, New York 10022</t>
  </si>
  <si>
    <t>Event Venue</t>
  </si>
  <si>
    <t> (646) 844-6004</t>
  </si>
  <si>
    <t>HAGS</t>
  </si>
  <si>
    <t>167 1st Avenue, New York, New York 10003</t>
  </si>
  <si>
    <t>Fine Dining Restaurant</t>
  </si>
  <si>
    <t>(845) 871-2252</t>
  </si>
  <si>
    <t>info@hagsnyc.com</t>
  </si>
  <si>
    <t>hagsnyc.com</t>
  </si>
  <si>
    <t>TERROIR TRIBECA</t>
  </si>
  <si>
    <t>24 Harrison Street, New York, New York 10013</t>
  </si>
  <si>
    <t>Wine Bar</t>
  </si>
  <si>
    <t>(212) 625-9463</t>
  </si>
  <si>
    <r>
      <rPr>
        <rFont val="Arial"/>
        <color rgb="FF9E9E9E"/>
        <sz val="10.0"/>
      </rPr>
      <t> </t>
    </r>
    <r>
      <rPr>
        <rFont val="Arial"/>
        <color rgb="FF9E9E9E"/>
        <sz val="10.0"/>
      </rPr>
      <t>info@wineisterroir.com</t>
    </r>
  </si>
  <si>
    <t>https://www.wineisterroir.com/</t>
  </si>
  <si>
    <t>CHEZ OSKAR</t>
  </si>
  <si>
    <t>373 Decatur Street, New York, New York 11233</t>
  </si>
  <si>
    <t>French Restaurant</t>
  </si>
  <si>
    <t>+1-718-852-6250</t>
  </si>
  <si>
    <t>Chezoskar310@gmail.com</t>
  </si>
  <si>
    <t>www.chezoskar.com</t>
  </si>
  <si>
    <t>EAST VILLAGE FARM</t>
  </si>
  <si>
    <t>69 2nd Ave, New York, NY 10003</t>
  </si>
  <si>
    <t>(212) 477-1385</t>
  </si>
  <si>
    <t>https://www.mercato.com/shop/east-village-farm-grocery?srsltid=AfmBOoqFiZfLRoqCfy4PJYV5mMd-QnM9j0KQ2jbfCxt9nbqWAqIuFlzr</t>
  </si>
  <si>
    <t>EDITION HOTELS</t>
  </si>
  <si>
    <t>5 Madison Avenue, Manhattan, NY, 10010</t>
  </si>
  <si>
    <t>(212) 413-4200</t>
  </si>
  <si>
    <t>info.nyc@editionhotels.com</t>
  </si>
  <si>
    <t>https://www.editionhotels.com/</t>
  </si>
  <si>
    <t>ROSEMARYS EAST</t>
  </si>
  <si>
    <t>350 1st Avenue, New York, New York 10010</t>
  </si>
  <si>
    <t>(646) 868-5335</t>
  </si>
  <si>
    <t>https://www.rosemarysnyc.com/location/rosemarys-east/</t>
  </si>
  <si>
    <t>AMAN HOTEL</t>
  </si>
  <si>
    <t>724 5th Avenue, New York, New York 10019</t>
  </si>
  <si>
    <t>+1 754 216 7830</t>
  </si>
  <si>
    <t> reservations@aman.com</t>
  </si>
  <si>
    <t>BAR MADONNA</t>
  </si>
  <si>
    <t>367 Metropolitan Avenue, New York, New York 11211</t>
  </si>
  <si>
    <t>Restaurant</t>
  </si>
  <si>
    <t>reservations@barmadonna.com</t>
  </si>
  <si>
    <t>https://barmadonna.com/</t>
  </si>
  <si>
    <t>PATISSERIE CHANSON</t>
  </si>
  <si>
    <t>155 West 70th Street, New York, New York 10023</t>
  </si>
  <si>
    <t>Bakery</t>
  </si>
  <si>
    <t>CLOSED</t>
  </si>
  <si>
    <t>AVERY FISHER HALL/ Davud Geffen Hall</t>
  </si>
  <si>
    <t>10 Lincoln Center Plaza, New York, NY 10023</t>
  </si>
  <si>
    <t>Performing Arts Theater</t>
  </si>
  <si>
    <t>(212) 875-5656</t>
  </si>
  <si>
    <t>guestexperience@lincolncenter.org</t>
  </si>
  <si>
    <t>www.lincolncenter.org/venue/david-geffen-hall</t>
  </si>
  <si>
    <t>MINUS MOONSHINE</t>
  </si>
  <si>
    <t>433 Sterling Place, New York, New York 11238</t>
  </si>
  <si>
    <t>Non Alc Store</t>
  </si>
  <si>
    <t>(914) 485-7502</t>
  </si>
  <si>
    <t>info@minusmoonshine.com</t>
  </si>
  <si>
    <t>minusmoonshine.com</t>
  </si>
  <si>
    <t>Great one! Small indepdent locally owned non alcholic spirts</t>
  </si>
  <si>
    <t>PERGOLA</t>
  </si>
  <si>
    <t>36 West 28th Street, New York, New York 10001</t>
  </si>
  <si>
    <t>+1-212-679-4842</t>
  </si>
  <si>
    <t>info@pergolanewyork.com</t>
  </si>
  <si>
    <t>www.pergolanewyork.com</t>
  </si>
  <si>
    <t>Meadow Lane</t>
  </si>
  <si>
    <t>361 Greenwich Street, New York, New York 10013</t>
  </si>
  <si>
    <t>NA</t>
  </si>
  <si>
    <t>info@meadowlane.nyc</t>
  </si>
  <si>
    <t>https://www.meadowlane.nyc/</t>
  </si>
  <si>
    <t>GAGE &amp; TOLLNER</t>
  </si>
  <si>
    <t>372 Fulton Mall, Brooklyn, NY, 11201</t>
  </si>
  <si>
    <t>+1-347-689-3677</t>
  </si>
  <si>
    <t>https://www.gageandtollner.com/contact-us/</t>
  </si>
  <si>
    <t>www.gageandtollner.com</t>
  </si>
  <si>
    <t>SAA</t>
  </si>
  <si>
    <t>154 Scott Avenue, New York, New York 11237</t>
  </si>
  <si>
    <t>Club/Event Space</t>
  </si>
  <si>
    <t>@saabrooklyn</t>
  </si>
  <si>
    <t>https://www.saa.nyc/</t>
  </si>
  <si>
    <t>CHEZ FIFI</t>
  </si>
  <si>
    <t>140 East 74th Street, New York, New York 10021</t>
  </si>
  <si>
    <t>reservations@chezfifinyc.com, events@chezfifinyc.com</t>
  </si>
  <si>
    <t>https://www.chezfifinyc.com/</t>
  </si>
  <si>
    <t>SPIRITED AWAY</t>
  </si>
  <si>
    <t>177 Mott Street, New York, New York 10012</t>
  </si>
  <si>
    <t>Liquor Store</t>
  </si>
  <si>
    <t>+1-929-277-2520</t>
  </si>
  <si>
    <t>https://www.spiritedaway.co/pages/contact</t>
  </si>
  <si>
    <t>www.spiritedaway.co</t>
  </si>
  <si>
    <t>SMITH &amp; MILLS Rockefeller Plz</t>
  </si>
  <si>
    <t>30 Rockefeller Plz, New York, New York 10112</t>
  </si>
  <si>
    <t>https://www.smithandmills.com/contact</t>
  </si>
  <si>
    <t>https://www.smithandmills.com/</t>
  </si>
  <si>
    <t>SMITH &amp; MILLS TriBeCa</t>
  </si>
  <si>
    <t>71 North Moore Street, Manhattan, NY, 10013</t>
  </si>
  <si>
    <t>LAKE SIDE EMOTIONS</t>
  </si>
  <si>
    <t>113 Main St, Stony Brook, NY 11790</t>
  </si>
  <si>
    <t>Stony Brook, NY</t>
  </si>
  <si>
    <t>(631) 675-2750</t>
  </si>
  <si>
    <t>info@lakesideemotions.com</t>
  </si>
  <si>
    <t>https://lakesideemotions.com/</t>
  </si>
  <si>
    <t>HUSO</t>
  </si>
  <si>
    <t>323A Greenwich Street, New York, NY 10013</t>
  </si>
  <si>
    <t>212-931-4876</t>
  </si>
  <si>
    <t>huso@husony.com</t>
  </si>
  <si>
    <t>https://husony.com/contact-us/</t>
  </si>
  <si>
    <t>BOBO RESTAURANT</t>
  </si>
  <si>
    <t>181 West 10th Street, New York, New York 10014</t>
  </si>
  <si>
    <t> (212) 488-2626</t>
  </si>
  <si>
    <t>https://www.bobonyc.com/contact/</t>
  </si>
  <si>
    <t>https://www.bobonyc.com/</t>
  </si>
  <si>
    <t>Quorum by Convene</t>
  </si>
  <si>
    <t>1221 6th Ave, New York, NY 10020</t>
  </si>
  <si>
    <t>(888) 730-7307</t>
  </si>
  <si>
    <t>https://convene.com/locations/new-york-city/1221-avenue-of-the-americas/</t>
  </si>
  <si>
    <t>AMOR Y AMARGO</t>
  </si>
  <si>
    <t>97 Avenue A, New York, New York 10009</t>
  </si>
  <si>
    <t>Bar</t>
  </si>
  <si>
    <t> (833) 328-4588</t>
  </si>
  <si>
    <t>speakup@overthrowhospitality.com</t>
  </si>
  <si>
    <t>https://www.amoryamargo.com/</t>
  </si>
  <si>
    <t>GRAMERCY TAVERN</t>
  </si>
  <si>
    <t>42 East 20th Street, New York, New York 10003</t>
  </si>
  <si>
    <t>+1 212-477-0777</t>
  </si>
  <si>
    <t>gtavern@gramercytavern.com</t>
  </si>
  <si>
    <t>www.gramercytavern.com</t>
  </si>
  <si>
    <t>KEY FOOD STORE #1830</t>
  </si>
  <si>
    <t>8772 18th Avenue, Brooklyn, NY 11214</t>
  </si>
  <si>
    <t>Supermarket</t>
  </si>
  <si>
    <t>(718) 331-5080</t>
  </si>
  <si>
    <t>https://www.keyfood.com/stores/1160</t>
  </si>
  <si>
    <t>FREVO</t>
  </si>
  <si>
    <t>48 West 8th Street, New York, New York 10011</t>
  </si>
  <si>
    <t>(646) 455-0804</t>
  </si>
  <si>
    <t>https://frevonyc.com/</t>
  </si>
  <si>
    <t>LE CHENE</t>
  </si>
  <si>
    <t>76 Carmine Street, New York, New York 10014</t>
  </si>
  <si>
    <t>bonjour@lechenenyc.com</t>
  </si>
  <si>
    <t>https://www.lechenenyc.com/</t>
  </si>
  <si>
    <t>SU'JUK</t>
  </si>
  <si>
    <t>216 Greene Avenue, New York, New York 11238</t>
  </si>
  <si>
    <t>Clothing Store</t>
  </si>
  <si>
    <t>+1-914-573-7545</t>
  </si>
  <si>
    <t>https://www.sujukbk.com/pages/contact</t>
  </si>
  <si>
    <t>www.sujukbk.com</t>
  </si>
  <si>
    <t>MAIDSTONE ARMS</t>
  </si>
  <si>
    <t>207 Main St, East Hampton, NY 11937</t>
  </si>
  <si>
    <t>East Hampton, NY</t>
  </si>
  <si>
    <t>(631) 324-5006</t>
  </si>
  <si>
    <t>ciao@themaidstone.com</t>
  </si>
  <si>
    <t>https://themaidstone.com/</t>
  </si>
  <si>
    <t>ROEYS</t>
  </si>
  <si>
    <t>59 Greenwich Avenue, New York, New York 10014</t>
  </si>
  <si>
    <t>Pizza Restaurant</t>
  </si>
  <si>
    <t>(646) 864-1200</t>
  </si>
  <si>
    <t>https://www.roeysnyc.com/contact/</t>
  </si>
  <si>
    <t>info@roeysnyc.com</t>
  </si>
  <si>
    <t>BLUE NOTE JAZZ CLUB</t>
  </si>
  <si>
    <t>131 West 3rd Street, New York, New York 10012</t>
  </si>
  <si>
    <t>Live Music Venue</t>
  </si>
  <si>
    <t>+1 212-475-8592</t>
  </si>
  <si>
    <t>https://www.bluenotejazz.com/nyc/contact/</t>
  </si>
  <si>
    <t>www.bluenotejazz.com/nyc</t>
  </si>
  <si>
    <t>KIKO</t>
  </si>
  <si>
    <t>307 Spring Street, New York, New York 10013</t>
  </si>
  <si>
    <t>Asian Restaurant</t>
  </si>
  <si>
    <t>Info@kikonewyork.com</t>
  </si>
  <si>
    <t>https://www.kikonewyork.com/about</t>
  </si>
  <si>
    <t>BUZZ FREE</t>
  </si>
  <si>
    <t>679 5th Avenue, New York, New York 11215</t>
  </si>
  <si>
    <t>Convenience Store</t>
  </si>
  <si>
    <t>(718) 219-7828</t>
  </si>
  <si>
    <t>buzzfree679@gmail.com</t>
  </si>
  <si>
    <t>https://www.buzzfreenyc.com/</t>
  </si>
  <si>
    <t>Non Alc Store!</t>
  </si>
  <si>
    <t>FOOD GARDEN MARKET Store 1</t>
  </si>
  <si>
    <t>102 4th Ave, Brooklyn, New York  11217</t>
  </si>
  <si>
    <t>929-337-1828</t>
  </si>
  <si>
    <t xml:space="preserve"> info@foodgardenmarket.com</t>
  </si>
  <si>
    <t>foodgardenmarket.com</t>
  </si>
  <si>
    <t>FOOD GARDEN MARKET Store 2</t>
  </si>
  <si>
    <t>608 Franklin Avenue, New York, New York 11238</t>
  </si>
  <si>
    <t>+1-718-399-1529</t>
  </si>
  <si>
    <t>POPINA</t>
  </si>
  <si>
    <t>127 Columbia Street, New York, New York 11231</t>
  </si>
  <si>
    <t>+1-718-222-1901</t>
  </si>
  <si>
    <t>https://www.popinanyc.com/contact/</t>
  </si>
  <si>
    <t>www.popinanyc.com</t>
  </si>
  <si>
    <t>HOTEL ON RIVINGTON</t>
  </si>
  <si>
    <t>107 Rivington Street, New York, New York 10002</t>
  </si>
  <si>
    <t>+1-212-475-2600</t>
  </si>
  <si>
    <t>https://www.hotelonrivington.com/contact/</t>
  </si>
  <si>
    <t>www.hotelonrivington.com</t>
  </si>
  <si>
    <t>SOHO GRAND HOTEL</t>
  </si>
  <si>
    <t>310 West Broadway, Manhattan, NY, 10013</t>
  </si>
  <si>
    <t>+1-212-965-3000</t>
  </si>
  <si>
    <t>https://www.sohogrand.com/contact/</t>
  </si>
  <si>
    <t>www.sohogrand.com</t>
  </si>
  <si>
    <t>Grand Bar &amp; Salon 212) 965-3588</t>
  </si>
  <si>
    <t>SUSHI NOZ</t>
  </si>
  <si>
    <t>181 East 78th Street, New York, New York 10075</t>
  </si>
  <si>
    <t>Sushi Restaurant</t>
  </si>
  <si>
    <t>+1 917-338-1792</t>
  </si>
  <si>
    <t>reservations@sushinoz.com</t>
  </si>
  <si>
    <t>www.sushinoz.com</t>
  </si>
  <si>
    <t xml:space="preserve">ILILI Nomad </t>
  </si>
  <si>
    <t>236 5th Ave, New York, NY 10001</t>
  </si>
  <si>
    <t>Lebanese Restaurant</t>
  </si>
  <si>
    <t>+1 212-683-2929</t>
  </si>
  <si>
    <t>https://www.ililirestaurants.com/contact/</t>
  </si>
  <si>
    <t>https://www.ililirestaurants.com/</t>
  </si>
  <si>
    <t>ILILI Midtown</t>
  </si>
  <si>
    <t xml:space="preserve"> 157 E 53rd St, New York, NY 10022</t>
  </si>
  <si>
    <t> (646) 653-0330</t>
  </si>
  <si>
    <t>midtowncontact@ililirestaurants.com</t>
  </si>
  <si>
    <t>LOVE EATS</t>
  </si>
  <si>
    <t>10 Amagansett Square Unit B, Amagansett, NY 11930</t>
  </si>
  <si>
    <t>Amagansett, NY</t>
  </si>
  <si>
    <t>(631) 557-3038</t>
  </si>
  <si>
    <t>info@loveeats.com</t>
  </si>
  <si>
    <t>https://www.loveeats.com/</t>
  </si>
  <si>
    <t>ILIS</t>
  </si>
  <si>
    <t>148 Green Street, New York, New York 11222</t>
  </si>
  <si>
    <t>SOMM TIME</t>
  </si>
  <si>
    <t>254 Broome Street, Manhattan, NY, 10002</t>
  </si>
  <si>
    <t>(212)-860-0401</t>
  </si>
  <si>
    <t>rustmaria1977@gmail.com</t>
  </si>
  <si>
    <t>https://sommtimenyc.com/</t>
  </si>
  <si>
    <t>MAIN STREET FARM</t>
  </si>
  <si>
    <t>36 Main St Unit B &amp; C, Livingston Manor, NY 12758</t>
  </si>
  <si>
    <t>Livingston Manor, NY</t>
  </si>
  <si>
    <t>Cafe</t>
  </si>
  <si>
    <t>(845) 439-4309</t>
  </si>
  <si>
    <t> info@mainstreetfarm.com</t>
  </si>
  <si>
    <t>mainstreetfarm.com</t>
  </si>
  <si>
    <t>THE OMA</t>
  </si>
  <si>
    <t>2754 Frederick Douglass Blvd, New York, NY 10039</t>
  </si>
  <si>
    <t>(646) 360-4918</t>
  </si>
  <si>
    <t>shop@theomahome.com</t>
  </si>
  <si>
    <t>https://www.theomashop.com/</t>
  </si>
  <si>
    <t>NIN HAO</t>
  </si>
  <si>
    <t>610 Dean Street, New York, New York 11238</t>
  </si>
  <si>
    <t>Chinese Restaurant</t>
  </si>
  <si>
    <t>718.399.3232</t>
  </si>
  <si>
    <t>joy@ninhaonyc.com</t>
  </si>
  <si>
    <t>https://www.ninhaonyc.com/</t>
  </si>
  <si>
    <t>CLAUDETTE</t>
  </si>
  <si>
    <t>24 Fifth Ave, New York, NY 10011, USA</t>
  </si>
  <si>
    <t>+1 212 868 2424</t>
  </si>
  <si>
    <t>events@claudettenyc.com</t>
  </si>
  <si>
    <t>www.claudettenyc.com</t>
  </si>
  <si>
    <t>THE BRONZE OWL</t>
  </si>
  <si>
    <t>49 West 32nd Street, New York, New York 10001</t>
  </si>
  <si>
    <t>(646) 838-9026</t>
  </si>
  <si>
    <t>info@thebronzeowlnyc.com</t>
  </si>
  <si>
    <t>https://thebronzeowlnyc.com/</t>
  </si>
  <si>
    <t>BAR BEDFORD</t>
  </si>
  <si>
    <t>353 Bedford Avenue, New York, New York 11211</t>
  </si>
  <si>
    <t>(929) 489-0150</t>
  </si>
  <si>
    <t>https://www.barbedford.com/contact-inquire/</t>
  </si>
  <si>
    <t>https://www.barbedford.com/</t>
  </si>
  <si>
    <t>NOZ 17</t>
  </si>
  <si>
    <t>458 West 17th Street, New York, New York 10011</t>
  </si>
  <si>
    <t>(917) 338-1792</t>
  </si>
  <si>
    <t>https://www.noz.global/experience/noz-17</t>
  </si>
  <si>
    <t>ESSENTIAL BY CHRISTOPHE</t>
  </si>
  <si>
    <t>2178 Broadway, New York, New York 10024</t>
  </si>
  <si>
    <t>(646) 478-7928</t>
  </si>
  <si>
    <t>https://www.essentialbychristophe.com/contact-essential-nyc/</t>
  </si>
  <si>
    <t>https://www.essentialbychristophe.com/</t>
  </si>
  <si>
    <t>SIGNAL</t>
  </si>
  <si>
    <t>175 Morgan Avenue, New York, New York 11206</t>
  </si>
  <si>
    <t>Night Club</t>
  </si>
  <si>
    <t>https://www.signalnyc.club/about</t>
  </si>
  <si>
    <t>www.signalnyc.club</t>
  </si>
  <si>
    <t>Brookfield Place FOR FIVE COFFEE ROASTERS</t>
  </si>
  <si>
    <t>225 Liberty St,
New York, NY 10281</t>
  </si>
  <si>
    <t>Coffee Shop</t>
  </si>
  <si>
    <t>347 531 0813</t>
  </si>
  <si>
    <t>https://www.forfivecoffee.com/contact/</t>
  </si>
  <si>
    <t>BARN JOO NOMAD</t>
  </si>
  <si>
    <t>818 6th Avenue, New York, New York 10001</t>
  </si>
  <si>
    <t>Gastropub</t>
  </si>
  <si>
    <t>+1-917-409-1637</t>
  </si>
  <si>
    <t>info@barnjoonomad.com</t>
  </si>
  <si>
    <t>www.barnjoonomad.com</t>
  </si>
  <si>
    <t>R&amp;D Goods</t>
  </si>
  <si>
    <t>600 Vanderbilt Avenue, New York, New York 11238</t>
  </si>
  <si>
    <t>Home Goods Store</t>
  </si>
  <si>
    <t>+1-347-897-6202</t>
  </si>
  <si>
    <t>rdgoodsbklyn@gmail.com</t>
  </si>
  <si>
    <t>https://rdgoodsbklyn.com/pages/contact</t>
  </si>
  <si>
    <t>HUDSON DRY</t>
  </si>
  <si>
    <t>421 Warren St, Hudson, NY 12534</t>
  </si>
  <si>
    <t>Hudson, NY</t>
  </si>
  <si>
    <t>Store</t>
  </si>
  <si>
    <t>(518) 660-0421</t>
  </si>
  <si>
    <t>Melissa@rubypr.com</t>
  </si>
  <si>
    <t>https://hudsondry.com/</t>
  </si>
  <si>
    <t>NEUEHOUSE CANTEEN</t>
  </si>
  <si>
    <t>110 East 25th Street, New York, New York 10010</t>
  </si>
  <si>
    <t> (917) 508-0412</t>
  </si>
  <si>
    <t>hello@neuehouse.com</t>
  </si>
  <si>
    <t>https://www.neuehouse.com/</t>
  </si>
  <si>
    <t>FELICE 64</t>
  </si>
  <si>
    <t xml:space="preserve">1166 1st avenue (at 64th street) - New York, NY 10065
</t>
  </si>
  <si>
    <t> (212) 593-2223</t>
  </si>
  <si>
    <t>felice64@felicerestaurants.com</t>
  </si>
  <si>
    <t>https://www.felicerestaurants.com/felice-64/</t>
  </si>
  <si>
    <t>ARDESIA</t>
  </si>
  <si>
    <t>510 West 52nd Street, New York, New York 10019</t>
  </si>
  <si>
    <t>(212) 247-9191</t>
  </si>
  <si>
    <t>info@ardesia-ny.com</t>
  </si>
  <si>
    <t>https://www.ardesia-ny.com/</t>
  </si>
  <si>
    <t>MIXTECA</t>
  </si>
  <si>
    <t>1 Cornelia St, New York, NY 10014</t>
  </si>
  <si>
    <t>mixteca@onecornelia.com</t>
  </si>
  <si>
    <t>CHEESE PLATE BROOKLYN</t>
  </si>
  <si>
    <t>400 7th Avenue, New York, New York 11215</t>
  </si>
  <si>
    <t>Food Store</t>
  </si>
  <si>
    <t>+1-929-434-9937</t>
  </si>
  <si>
    <t>https://www.cheeseplatebrooklyn.com/contact</t>
  </si>
  <si>
    <t>www.cheeseplatebrooklyn.com</t>
  </si>
  <si>
    <t>L ABEILLE</t>
  </si>
  <si>
    <t>412 Greenwich Street, New York, New York 10013</t>
  </si>
  <si>
    <t> (212) 542-3898</t>
  </si>
  <si>
    <t>info@labeille.nyc</t>
  </si>
  <si>
    <t>https://www.labeille.nyc/</t>
  </si>
  <si>
    <t>SAINT JAMES LIBATIONS</t>
  </si>
  <si>
    <t>269 Stanhope St, Brooklyn, NY 11237</t>
  </si>
  <si>
    <t>(646) 807-9190</t>
  </si>
  <si>
    <t>mgmt@saintjameslibations.com</t>
  </si>
  <si>
    <t>https://saintjameslibations.com/</t>
  </si>
  <si>
    <t>Sahadi's</t>
  </si>
  <si>
    <t>187 Atlantic Avenue, New York, New York 11201</t>
  </si>
  <si>
    <t>+1-718-624-4550</t>
  </si>
  <si>
    <t>https://sahadis.com/pages/contact</t>
  </si>
  <si>
    <t>sahadis.com</t>
  </si>
  <si>
    <t>NOURY</t>
  </si>
  <si>
    <t>137 Sullivan Street, New York, New York 10012</t>
  </si>
  <si>
    <t>info@nourynewyork.com</t>
  </si>
  <si>
    <t>https://www.nourynewyork.com/</t>
  </si>
  <si>
    <t>MEDUZA MEDITERRANIA</t>
  </si>
  <si>
    <t>657 Hudson Street, New York, New York 10014</t>
  </si>
  <si>
    <t>+1 646-435-6544</t>
  </si>
  <si>
    <t>https://www.meduza33.com/contact</t>
  </si>
  <si>
    <t>www.meduza33.com</t>
  </si>
  <si>
    <t>DrySpace Beverage</t>
  </si>
  <si>
    <t xml:space="preserve"> 37 Cedar St, Dobbs Ferry, NY 10522</t>
  </si>
  <si>
    <t>Dobbs Ferry, NY</t>
  </si>
  <si>
    <t>https://www.instagram.com/dryspacebev/</t>
  </si>
  <si>
    <t>https://dryspacebev.com/</t>
  </si>
  <si>
    <t>BOTTLEROCKET WINE &amp; SPIRIT</t>
  </si>
  <si>
    <t>5 West 19th Street, Manhattan, NY, 10011</t>
  </si>
  <si>
    <t>(212) 929-2323</t>
  </si>
  <si>
    <t>rocketmail@bottlerocket.com</t>
  </si>
  <si>
    <t>bottlerocket.com</t>
  </si>
  <si>
    <t>The Maze</t>
  </si>
  <si>
    <t>43 W 24th St, New York, NY 10010</t>
  </si>
  <si>
    <t>alcohol-free members club</t>
  </si>
  <si>
    <t>membership@localhost.com</t>
  </si>
  <si>
    <t>https://www.themazenyc.com/contact-us/</t>
  </si>
  <si>
    <t>Happier Grocery</t>
  </si>
  <si>
    <t>365 Canal St, Ground Floor, New York, NY 10013</t>
  </si>
  <si>
    <t>specialty grocery store</t>
  </si>
  <si>
    <t>+1 212-837-8015</t>
  </si>
  <si>
    <t>https://www.happiergrocery.com/contact-us</t>
  </si>
  <si>
    <t>this one is cool!</t>
  </si>
  <si>
    <t>Dimes Market</t>
  </si>
  <si>
    <t>143 Division St, New York, NY 10002</t>
  </si>
  <si>
    <t>market</t>
  </si>
  <si>
    <t>+1 646-870-5113</t>
  </si>
  <si>
    <t>dimesmarket@dimesnyc.com</t>
  </si>
  <si>
    <t>https://dimesnyc.com/market</t>
  </si>
  <si>
    <t>Gem</t>
  </si>
  <si>
    <t>181 Mott St, New York, NY 10012</t>
  </si>
  <si>
    <t>MA</t>
  </si>
  <si>
    <t>info@gemhomenyc.com</t>
  </si>
  <si>
    <t>www.gemhomenyc.com</t>
  </si>
  <si>
    <t>*stocks UF + NON</t>
  </si>
  <si>
    <t>Silence Please</t>
  </si>
  <si>
    <t>132 Bowery, Fl 2, New York, NY 10013</t>
  </si>
  <si>
    <t>tea house and listening room</t>
  </si>
  <si>
    <t>https://silenceplease.com/pages/contact</t>
  </si>
  <si>
    <t>silenceplease.com</t>
  </si>
  <si>
    <t>Pocketbook Market</t>
  </si>
  <si>
    <t>549 Washington St, Hudson, NY 12534</t>
  </si>
  <si>
    <t>reservations@pocketbookhudson.com</t>
  </si>
  <si>
    <t>https://www.pocketbookhudson.com/shops</t>
  </si>
  <si>
    <t>Entre Nous</t>
  </si>
  <si>
    <t>39 Clifton Pl, Brooklyn, NY 11238</t>
  </si>
  <si>
    <t>+1 347-294-4186</t>
  </si>
  <si>
    <t xml:space="preserve">bonsoir@entrenousbrooklyn.com </t>
  </si>
  <si>
    <t>www.entrenousbrooklyn.com</t>
  </si>
  <si>
    <t>hello@rhodorabk.com</t>
  </si>
  <si>
    <t>https://www.rhodorabk.com/</t>
  </si>
  <si>
    <t>Prima</t>
  </si>
  <si>
    <t>147 Greene Ave, Brooklyn, NY 11238</t>
  </si>
  <si>
    <t>cafe/wine bar</t>
  </si>
  <si>
    <t>+1 718-789-7890</t>
  </si>
  <si>
    <t>https://www.primabrooklyn.com/</t>
  </si>
  <si>
    <t xml:space="preserve">love this vibe </t>
  </si>
  <si>
    <t>Place Des Fetes</t>
  </si>
  <si>
    <t>212 Greene Ave, Brooklyn, NY 11238</t>
  </si>
  <si>
    <t>restaurant</t>
  </si>
  <si>
    <t>+1 718-857-0101</t>
  </si>
  <si>
    <t>https://www.pdfnyc.com/contact/</t>
  </si>
  <si>
    <t>www.pdfnyc.com</t>
  </si>
  <si>
    <t>Anais</t>
  </si>
  <si>
    <t>196 Bergen St #2, Brooklyn, NY 11217</t>
  </si>
  <si>
    <t>+1 718-513-9176</t>
  </si>
  <si>
    <t>hello@anaisbk.com</t>
  </si>
  <si>
    <t>https://www.anaisbk.com/</t>
  </si>
  <si>
    <t>L'Apero by 4F</t>
  </si>
  <si>
    <t>115 Montague St, Brooklyn, NY 11201</t>
  </si>
  <si>
    <t>(347) 599-0006</t>
  </si>
  <si>
    <t>info@lappartement4f.com</t>
  </si>
  <si>
    <t>https://www.lappartement4f.com/?srsltid=AfmBOoqZKnI3dVxv1rwIYdB2Xpm1Vb2uboNtIUswpxA_MN4k9qIdy-TS</t>
  </si>
  <si>
    <t>Clover Club</t>
  </si>
  <si>
    <t>210 Smith St, Brooklyn, NY 11201</t>
  </si>
  <si>
    <t>bar</t>
  </si>
  <si>
    <t>+1 718-855-7939</t>
  </si>
  <si>
    <t>info@cloverclubny.com</t>
  </si>
  <si>
    <t>cloverclubny.com</t>
  </si>
  <si>
    <t>Doris</t>
  </si>
  <si>
    <t>1088 Fulton St, Brooklyn, NY 11238</t>
  </si>
  <si>
    <t>+1 347-240-3350</t>
  </si>
  <si>
    <t>dorisbedstuy@gmail.com.</t>
  </si>
  <si>
    <t>dorisbedstuy.com</t>
  </si>
  <si>
    <t>Ornithology Jazz Club</t>
  </si>
  <si>
    <t>6 Suydam St, Brooklyn, NY 11221</t>
  </si>
  <si>
    <t>+1 917-231-4766</t>
  </si>
  <si>
    <t>ornithologycocktail@gmail.com</t>
  </si>
  <si>
    <t>www.ornithologyjazzclub.com</t>
  </si>
  <si>
    <t>The Coyote Club</t>
  </si>
  <si>
    <t>417 Throop Ave, Brooklyn, NY 11221</t>
  </si>
  <si>
    <t>thecoyoteclubbrooklyn@gmail.com</t>
  </si>
  <si>
    <t>https://www.instagram.com/thecoyoteclub_bk/?hl=en</t>
  </si>
  <si>
    <t>cash only, no email, check insta vibes</t>
  </si>
  <si>
    <t>LunAtico</t>
  </si>
  <si>
    <t>486 Halsey St, Brooklyn, NY 11233</t>
  </si>
  <si>
    <t>+1 718-513-0339</t>
  </si>
  <si>
    <t>office@barlunatico.com</t>
  </si>
  <si>
    <t>www.barlunatico.com</t>
  </si>
  <si>
    <t>With Others</t>
  </si>
  <si>
    <t>340 Bedford Ave, Brooklyn, NY 11249</t>
  </si>
  <si>
    <t>+1 929-389-0807</t>
  </si>
  <si>
    <t>shanna@withothersbrooklyn.com</t>
  </si>
  <si>
    <t>www.withothersbrooklyn.com</t>
  </si>
  <si>
    <t>Sauced</t>
  </si>
  <si>
    <t>331 Bedford Ave, Brooklyn, NY 11211</t>
  </si>
  <si>
    <t>+1 929-492-4758</t>
  </si>
  <si>
    <t>https://www.saucedbklyn.com/pages/contact</t>
  </si>
  <si>
    <t>www.saucedbklyn.com</t>
  </si>
  <si>
    <t>Bar Laika</t>
  </si>
  <si>
    <t>224 Greene Ave, Brooklyn, NY 11238</t>
  </si>
  <si>
    <t>+1 347-529-4321</t>
  </si>
  <si>
    <t xml:space="preserve"> laika@e-flux.com</t>
  </si>
  <si>
    <t>www.laika.bar</t>
  </si>
  <si>
    <t>TIME AGAIN</t>
  </si>
  <si>
    <t>105 Canal St, New York, NY 10002</t>
  </si>
  <si>
    <t>timeagainbar@gmail.com</t>
  </si>
  <si>
    <t>https://www.instagram.com/timeagainbar/?hl=en</t>
  </si>
  <si>
    <t>Mr Fongs</t>
  </si>
  <si>
    <t>40 Market St, New York, NY 10002</t>
  </si>
  <si>
    <t>+1 646-964-4540</t>
  </si>
  <si>
    <t>https://www.mrfongs.com/</t>
  </si>
  <si>
    <t>Kingston Hall</t>
  </si>
  <si>
    <t>149 2nd Ave, New York, NY 10003</t>
  </si>
  <si>
    <t>info@kingstonhall.com</t>
  </si>
  <si>
    <t>www.kingstonhall.com</t>
  </si>
  <si>
    <t>Ray's</t>
  </si>
  <si>
    <t>177 Chrystie St, New York, NY 10002</t>
  </si>
  <si>
    <t>https://www.raysbarnyc.com/contact/</t>
  </si>
  <si>
    <t>www.raysbarnyc.com/location/les</t>
  </si>
  <si>
    <t>Frog Wine Bar</t>
  </si>
  <si>
    <t>358 Marcus Garvey Blvd, Brooklyn, NY 11221</t>
  </si>
  <si>
    <t>+15854561050</t>
  </si>
  <si>
    <t>https://www.instagram.com/frogwinebar/?hl=en</t>
  </si>
  <si>
    <t>George and Jack's Tap Room</t>
  </si>
  <si>
    <t>103 Berry St, Brooklyn, NY 11211</t>
  </si>
  <si>
    <t>pub</t>
  </si>
  <si>
    <t>(212) 555-1212</t>
  </si>
  <si>
    <t>https://www.instagram.com/georgeandjacks/?hl=en</t>
  </si>
  <si>
    <t>Lilia</t>
  </si>
  <si>
    <t>567 Union Ave, Brooklyn, NY 11211</t>
  </si>
  <si>
    <t>+1 718-576-3095</t>
  </si>
  <si>
    <t>https://www.lilianewyork.com/contact/</t>
  </si>
  <si>
    <t>www.lilianewyork.com</t>
  </si>
  <si>
    <t>Misipasta</t>
  </si>
  <si>
    <t>46 Grand St, Brooklyn, NY 11249</t>
  </si>
  <si>
    <t>cafe</t>
  </si>
  <si>
    <t>+1 347-844-6474</t>
  </si>
  <si>
    <t>info@misipasta.com</t>
  </si>
  <si>
    <t>www.misipasta.com</t>
  </si>
  <si>
    <t>Misi</t>
  </si>
  <si>
    <t>329 Kent Ave, Brooklyn, NY 11249</t>
  </si>
  <si>
    <t>+1 347-566-3262</t>
  </si>
  <si>
    <t>info@misinewyork.com</t>
  </si>
  <si>
    <t>www.misinewyork.com</t>
  </si>
  <si>
    <t>Nowadays</t>
  </si>
  <si>
    <t>56-06 Cooper Ave, Glendale, NY 11385</t>
  </si>
  <si>
    <t>Glendale, NY</t>
  </si>
  <si>
    <t>bar/club</t>
  </si>
  <si>
    <t>hello@nowadays.nyc.</t>
  </si>
  <si>
    <t>https://nowadays.nyc/about/</t>
  </si>
  <si>
    <t>Carmelo's</t>
  </si>
  <si>
    <t>1544 Dekalb Ave, Brooklyn, NY 11237</t>
  </si>
  <si>
    <t>Carmelosbushwick@gmail.com</t>
  </si>
  <si>
    <t>https://carmelosbushwick.teamdexter.com/</t>
  </si>
  <si>
    <t>Le Dive LES</t>
  </si>
  <si>
    <t>37 Canal St, New York, NY 10002</t>
  </si>
  <si>
    <t>info@ledivenyc.com</t>
  </si>
  <si>
    <t>https://www.ledivenyc.com/</t>
  </si>
  <si>
    <t>Le Dive West Village</t>
  </si>
  <si>
    <t>192 7th Ave S, New York, NY 10014</t>
  </si>
  <si>
    <t>Banter Bar</t>
  </si>
  <si>
    <t>132 Havemeyer St, Brooklyn, NY 11211</t>
  </si>
  <si>
    <t>+1 347-457-6621</t>
  </si>
  <si>
    <t>chris@banterbrooklyn.com</t>
  </si>
  <si>
    <t>https://banterbrooklyn.com/</t>
  </si>
  <si>
    <t>Radegast Hall</t>
  </si>
  <si>
    <t>113 N 3rd St, Brooklyn, NY 11249</t>
  </si>
  <si>
    <t>+1 718-963-3973</t>
  </si>
  <si>
    <t>info@radegasthall.com</t>
  </si>
  <si>
    <t>https://radegasthall.com/contact/</t>
  </si>
  <si>
    <t>Lovers of Today</t>
  </si>
  <si>
    <t>132 1/2 E 7th St, New York, NY 10009</t>
  </si>
  <si>
    <t>+1-212-614-9798</t>
  </si>
  <si>
    <t xml:space="preserve"> info@loversoftodaynyc.com</t>
  </si>
  <si>
    <t>loversoftodaynyc.com</t>
  </si>
  <si>
    <t>Joyface</t>
  </si>
  <si>
    <t>104 Loisaida Ave, New York, NY 10009</t>
  </si>
  <si>
    <t>917) 261-2166</t>
  </si>
  <si>
    <t>info@joyface.nyc</t>
  </si>
  <si>
    <t>www.joyface.nyc</t>
  </si>
  <si>
    <t>Twins Lounge</t>
  </si>
  <si>
    <t>732 Manhattan Ave, Brooklyn, NY 11222</t>
  </si>
  <si>
    <t>bar/lounge</t>
  </si>
  <si>
    <t>twinsloungenyc@gmail.com</t>
  </si>
  <si>
    <t>www.instagram.com/twinsloungenyc</t>
  </si>
  <si>
    <t>The Spaniard</t>
  </si>
  <si>
    <t>190 W 4th St, New York, NY 10014</t>
  </si>
  <si>
    <t>+1 212-918-1986</t>
  </si>
  <si>
    <t>events@thespaniardnyc.com</t>
  </si>
  <si>
    <t>https://www.thespaniardnyc.com/info/</t>
  </si>
  <si>
    <t>Air HQ</t>
  </si>
  <si>
    <t>3 Howard St, New York, NY 10013</t>
  </si>
  <si>
    <t>software company with pop-up space</t>
  </si>
  <si>
    <t>(419) 902-7392</t>
  </si>
  <si>
    <t>https://air.inc/about</t>
  </si>
  <si>
    <t>Verlaine</t>
  </si>
  <si>
    <t>110 Rivington St, New York, NY 10002</t>
  </si>
  <si>
    <t>cocktail bar</t>
  </si>
  <si>
    <t>(212) 614-2494</t>
  </si>
  <si>
    <t>verlaineevents@gmail.com</t>
  </si>
  <si>
    <t>www.verlainenyc.com</t>
  </si>
  <si>
    <t>Max's cousin gary is the owner</t>
  </si>
  <si>
    <t>Soft Bar</t>
  </si>
  <si>
    <t>200 Banker St, Brooklyn, NY 11222</t>
  </si>
  <si>
    <t>non-alc dedicated bar + cafe</t>
  </si>
  <si>
    <t>hello@soft-bar.com.</t>
  </si>
  <si>
    <t>https://soft-bar.com/</t>
  </si>
  <si>
    <t>AITA</t>
  </si>
  <si>
    <t>132 Greene Ave, Brooklyn, NY 11238</t>
  </si>
  <si>
    <t>+1 718-576-3584</t>
  </si>
  <si>
    <t>aitaclintonhill@gmail.com</t>
  </si>
  <si>
    <t>aitaclintonhill.com</t>
  </si>
  <si>
    <t>Foragers Market</t>
  </si>
  <si>
    <t>56 Adams St, Brooklyn, NY 11201</t>
  </si>
  <si>
    <t>+1 718-801-8400</t>
  </si>
  <si>
    <t>LifeThyme Natural Market</t>
  </si>
  <si>
    <t>410 6th Ave, New York, NY 10011</t>
  </si>
  <si>
    <t>natural market</t>
  </si>
  <si>
    <t>+1 212-420-1600</t>
  </si>
  <si>
    <t>CS@lifethymemarket.com</t>
  </si>
  <si>
    <t>https://www.lifethymemarket.com/contact</t>
  </si>
  <si>
    <t>Talbott &amp; Arding</t>
  </si>
  <si>
    <t>202 Allen St, Hudson, NY 12534</t>
  </si>
  <si>
    <t>+1 518-828-3558</t>
  </si>
  <si>
    <t xml:space="preserve"> info@talbottandarding.com</t>
  </si>
  <si>
    <t>https://talbottandarding.com/</t>
  </si>
  <si>
    <t>&amp; Sons Buttery</t>
  </si>
  <si>
    <t>447 Rogers Ave, Brooklyn, NY 11225</t>
  </si>
  <si>
    <t>buttery</t>
  </si>
  <si>
    <t>+1 347-789-3422</t>
  </si>
  <si>
    <t>Dimes Deli</t>
  </si>
  <si>
    <t>deli/market</t>
  </si>
  <si>
    <t>+1 212-240-9410</t>
  </si>
  <si>
    <t>https://dimesnyc.com/deli</t>
  </si>
  <si>
    <t>Depanneur</t>
  </si>
  <si>
    <t>242 Wythe Ave, Brooklyn, NY 11249</t>
  </si>
  <si>
    <t>+1 718-989-1022</t>
  </si>
  <si>
    <t>Info@depanneurwines.com</t>
  </si>
  <si>
    <t>https://www.depanneurwines.com/</t>
  </si>
  <si>
    <t>Lea Brooklyn</t>
  </si>
  <si>
    <t>1022 Cortelyou Rd, Brooklyn, NY 11218</t>
  </si>
  <si>
    <t>+1 718-928-7100</t>
  </si>
  <si>
    <t>info@leabrooklyn.com</t>
  </si>
  <si>
    <t>www.leabrooklyn.com</t>
  </si>
  <si>
    <t>Park Slope Food Coop</t>
  </si>
  <si>
    <t>782 Union St, Brooklyn, NY 11215</t>
  </si>
  <si>
    <t>food coop</t>
  </si>
  <si>
    <t>+1 718-622-0560</t>
  </si>
  <si>
    <t>missions@psfc.coop</t>
  </si>
  <si>
    <t>www.foodcoop.com</t>
  </si>
  <si>
    <t>R&amp;D Foods</t>
  </si>
  <si>
    <t>602 Vanderbilt Ave, Brooklyn, NY 11238</t>
  </si>
  <si>
    <t>specialty foods</t>
  </si>
  <si>
    <t>Zabar's</t>
  </si>
  <si>
    <t>2245 Broadway, New York, NY 10024</t>
  </si>
  <si>
    <t>specialty grocery</t>
  </si>
  <si>
    <t>+1 212-787-2000</t>
  </si>
  <si>
    <t>zabars.com</t>
  </si>
  <si>
    <t>Public Records</t>
  </si>
  <si>
    <t>233 Butler St, Brooklyn, NY 11217</t>
  </si>
  <si>
    <t>bar/venue</t>
  </si>
  <si>
    <t>+1-347-529-4869</t>
  </si>
  <si>
    <t>publicrecords.nyc</t>
  </si>
  <si>
    <t>132 Greene Ave, Brooklyn, NY 11238, USA</t>
  </si>
  <si>
    <t>(718) 576-3584</t>
  </si>
  <si>
    <t>ALISON</t>
  </si>
  <si>
    <t>1651 Lexington Ave, New York, NY 10029, USA</t>
  </si>
  <si>
    <t>(646) 876-1054</t>
  </si>
  <si>
    <t>alisonny.com</t>
  </si>
  <si>
    <t>AMAN NEW YORK</t>
  </si>
  <si>
    <t>730 5th Avenue, Manhattan, NY, 10019</t>
  </si>
  <si>
    <t>AS IS</t>
  </si>
  <si>
    <t>734 10th Avenue, Manhattan, NY, 10019</t>
  </si>
  <si>
    <t>Yes</t>
  </si>
  <si>
    <t>ASKA</t>
  </si>
  <si>
    <t>47 S 5th St, Brooklyn, NY 11249, USA</t>
  </si>
  <si>
    <t>ATOBOY</t>
  </si>
  <si>
    <t>Atoboy, 43, East 28th Street, Rose Hill, Manhattan Community Board 5, Manhattan, New York County, New York, 10016, United States</t>
  </si>
  <si>
    <t>+1-646-476-7217</t>
  </si>
  <si>
    <t>www.atoboynyc.com</t>
  </si>
  <si>
    <t>104 E 30th St, New York, NY 10016, USA</t>
  </si>
  <si>
    <t>104 E 30th St, NY</t>
  </si>
  <si>
    <t>BAR MERIDIAN</t>
  </si>
  <si>
    <t>406 Prospect Place, Brooklyn, NY, 11238</t>
  </si>
  <si>
    <t>A BATHHOUSE</t>
  </si>
  <si>
    <t>103 North 10th Street, Brooklyn, NY, 11249</t>
  </si>
  <si>
    <t>BIG NIGHT</t>
  </si>
  <si>
    <t>Big Night, 154, Franklin Street, Greenpoint, Brooklyn, Kings County, New York, 11222, United States</t>
  </si>
  <si>
    <t>BLANCA</t>
  </si>
  <si>
    <t>261 Moore Street, Brooklyn, NY, 11206</t>
  </si>
  <si>
    <t>+1-718-568-0758</t>
  </si>
  <si>
    <t>casablancahotelbrooklyn.com</t>
  </si>
  <si>
    <t>BONNIES</t>
  </si>
  <si>
    <t>398 Manhattan Ave, Brooklyn, NY 11211, USA</t>
  </si>
  <si>
    <t>(914) 875-3709</t>
  </si>
  <si>
    <t>bonniesbrooklyn.com</t>
  </si>
  <si>
    <t>CAFE RUE DIX</t>
  </si>
  <si>
    <t>Cafe Rue Dix, 1451, Bedford Avenue, Brooklyn, Kings County, New York, 11216, United States</t>
  </si>
  <si>
    <t>CAMPBELL CHEESE AND GROCERY</t>
  </si>
  <si>
    <t>502, Lorimer Street, New York, New York, 11211, United States</t>
  </si>
  <si>
    <t>Lorimer Street, NY</t>
  </si>
  <si>
    <t>Cheeseplate Brooklyn</t>
  </si>
  <si>
    <t>323 Court St, Brooklyn, NY 11231, USA</t>
  </si>
  <si>
    <t>400 7th Ave, Brooklyn, NY 11215, USA</t>
  </si>
  <si>
    <t>CHERRY ON TOP</t>
  </si>
  <si>
    <t>379 Suydam Street, Brooklyn, NY, 11237</t>
  </si>
  <si>
    <t>CHEZ MA TANTE</t>
  </si>
  <si>
    <t>Chez Ma Tante, 47, Franklin Street, Greenpoint, Brooklyn, Kings County, New York, 11222, United States</t>
  </si>
  <si>
    <t>CHAMA MAMA</t>
  </si>
  <si>
    <t>Chama Mama, 373, Amsterdam Avenue, Upper West Side, Manhattan Community Board 7, Manhattan, New York County, New York, 10024, United States</t>
  </si>
  <si>
    <t>+1-917-261-7430</t>
  </si>
  <si>
    <t>www.chamamama.com/location/chama-mama-uws</t>
  </si>
  <si>
    <t>COMPAGNIE DE VINS</t>
  </si>
  <si>
    <t>249, Centre Street, New York, New York, 10013, United States</t>
  </si>
  <si>
    <t>Centre Street, NY</t>
  </si>
  <si>
    <t>COVENHOVEN</t>
  </si>
  <si>
    <t>Covenhoven, 730, Classon Avenue, Brooklyn, Kings County, New York, 11238, United States</t>
  </si>
  <si>
    <t>+1-718-483-9950</t>
  </si>
  <si>
    <t>www.covenhovennyc.com</t>
  </si>
  <si>
    <t>DEAR FRIEND BOOKS</t>
  </si>
  <si>
    <t>Dear Friend Books, 343A, Tompkins Avenue, Bedford-Stuyvesant, Brooklyn, Kings County, New York, 11221, United States</t>
  </si>
  <si>
    <t>DAUGHTER</t>
  </si>
  <si>
    <t>Daughter, 1090, Saint Johns Place, Eastern Parkway, Brooklyn, Kings County, New York, 11213, United States</t>
  </si>
  <si>
    <t>www.daughter.nyc</t>
  </si>
  <si>
    <t>Dinner Party</t>
  </si>
  <si>
    <t>274 Hall St, Brooklyn, NY 11205, USA</t>
  </si>
  <si>
    <t>ELEVEN MADISON PARK</t>
  </si>
  <si>
    <t>Eleven Madison Park, 11, Madison Avenue, Flatiron District, Manhattan Community Board 5, Manhattan, New York County, New York, 10010, United States</t>
  </si>
  <si>
    <t>+1 212-889-0905</t>
  </si>
  <si>
    <t>www.elevenmadisonpark.com</t>
  </si>
  <si>
    <t>EXTRA EXTRA PIZZA</t>
  </si>
  <si>
    <t>549 West Utica Street, Buffalo, NY, 14213</t>
  </si>
  <si>
    <t>Buffalo, NY</t>
  </si>
  <si>
    <t>THE FLY</t>
  </si>
  <si>
    <t>549 Classon Avenue, Brooklyn, NY, 11238</t>
  </si>
  <si>
    <t>FOSTER SUNDRY</t>
  </si>
  <si>
    <t>Foster Sundry, 211, Knickerbocker Avenue, Bushwick, Brooklyn, Kings County, New York, 11207, United States</t>
  </si>
  <si>
    <t>FOUR HORSEMEN</t>
  </si>
  <si>
    <t>The Four Horsemen, 295, Grand Street, Williamsburg, Brooklyn, Kings County, New York, 11211, United States</t>
  </si>
  <si>
    <t>www.fourhorsemenbk.com</t>
  </si>
  <si>
    <t>FORT DEFIANCE</t>
  </si>
  <si>
    <t>354 Van Brunt Street, Brooklyn, NY, 11231</t>
  </si>
  <si>
    <t>FULGURANCES LAUNDROMAT</t>
  </si>
  <si>
    <t>132 Franklin Street, Brooklyn, NY, 11222</t>
  </si>
  <si>
    <t>GEM</t>
  </si>
  <si>
    <t>Gem, 181, Mott Street, Chinatown, Lower Manhattan, Manhattan, New York County, New York, 10012, United States</t>
  </si>
  <si>
    <t>GERTIE</t>
  </si>
  <si>
    <t>Gertie, Vanderbilt Avenue, Prospect Heights, Brooklyn, Kings County, New York, 11238, United States</t>
  </si>
  <si>
    <t>www.gertie.nyc</t>
  </si>
  <si>
    <t>The Getaway 151</t>
  </si>
  <si>
    <t>743 Riverside Dr, New York, NY 10031, USA</t>
  </si>
  <si>
    <t>HANA MAKGEOLLI</t>
  </si>
  <si>
    <t>201 Dupont Street, Brooklyn, NY, 11222</t>
  </si>
  <si>
    <t>HOTEL DELMANO</t>
  </si>
  <si>
    <t>Hotel Delmano, 82, Berry Street, Williamsburg, Brooklyn, Kings County, New York, 11211, United States</t>
  </si>
  <si>
    <t>INSA</t>
  </si>
  <si>
    <t>Insa, 328, Douglass Street, Park Slope, Brooklyn, Kings County, New York, 11217, United States</t>
  </si>
  <si>
    <t>+1-718-855-2620</t>
  </si>
  <si>
    <t>www.insabrooklyn.com</t>
  </si>
  <si>
    <t>JUNE</t>
  </si>
  <si>
    <t>June, 231, Court Street, Cobble Hill Historic District, Brooklyn, Kings County, New York, 11201, United States</t>
  </si>
  <si>
    <t>+1-917-909-0434</t>
  </si>
  <si>
    <t>www.junebk.com</t>
  </si>
  <si>
    <t>KINDRED FARE</t>
  </si>
  <si>
    <t>512 Hamilton Street, Geneva, NY, 14456</t>
  </si>
  <si>
    <t>Geneva, NY</t>
  </si>
  <si>
    <t>+1 315-787-0400</t>
  </si>
  <si>
    <t>kindredfare.com</t>
  </si>
  <si>
    <t>LA VARA</t>
  </si>
  <si>
    <t>La Vara, 268, Clinton Street, Cobble Hill Historic District, Brooklyn, Kings County, New York, 11201, United States</t>
  </si>
  <si>
    <t>+1-718-422-0065</t>
  </si>
  <si>
    <t>www.lavarany.com</t>
  </si>
  <si>
    <t>LIL DEB'S OASIS</t>
  </si>
  <si>
    <t>747 Columbia Street, City of Hudson, NY, 12534</t>
  </si>
  <si>
    <t>City of Hudson, NY</t>
  </si>
  <si>
    <t>+1-518-828-4307</t>
  </si>
  <si>
    <t>www.lildebsoasis.com</t>
  </si>
  <si>
    <t>LITTLE FLOWER</t>
  </si>
  <si>
    <t>Little Flower Playground, Manhattan Community Board 3, Manhattan, New York County, New York, 10002, United States</t>
  </si>
  <si>
    <t>LUTHUN</t>
  </si>
  <si>
    <t>Luthun, 432, East 13th Street, Alphabet City, Manhattan Community Board 3, Manhattan, New York County, New York, 10009, United States</t>
  </si>
  <si>
    <t>Minus Moonshine, 433, Sterling Place, Prospect Heights, Brooklyn, Kings County, New York, 11238, United States</t>
  </si>
  <si>
    <t>MISSION CHINESE</t>
  </si>
  <si>
    <t>45 Mott Street, Manhattan, NY, 10013</t>
  </si>
  <si>
    <t>www.missionchinesefood.com</t>
  </si>
  <si>
    <t>MISS ADA</t>
  </si>
  <si>
    <t>Miss Ada, 184, DeKalb Avenue, Fort Greene, Brooklyn, Kings County, New York, 11217, United States</t>
  </si>
  <si>
    <t>www.missadanyc.com</t>
  </si>
  <si>
    <t>MOONFLOWER</t>
  </si>
  <si>
    <t>201 West 11th Street, Manhattan, NY 10014, USA</t>
  </si>
  <si>
    <t>NARO</t>
  </si>
  <si>
    <t>610 5th Avenue, Manhattan, NY, 10020</t>
  </si>
  <si>
    <t>NICHE NICHE</t>
  </si>
  <si>
    <t>43 MacDougal St, New York, NY 10011, USA</t>
  </si>
  <si>
    <t>+1-646-370-4146</t>
  </si>
  <si>
    <t>thenicheshop.co</t>
  </si>
  <si>
    <t>NUDIBRANCH</t>
  </si>
  <si>
    <t>Nudibranch, 125, 1st Avenue, East Village, Manhattan Community Board 3, Manhattan, New York County, New York, 10009, United States</t>
  </si>
  <si>
    <t>nudibranchnyc.com</t>
  </si>
  <si>
    <t>ODDLY ENOUGH</t>
  </si>
  <si>
    <t>397 Tompkins Ave, Brooklyn, NY 11216, USA</t>
  </si>
  <si>
    <t>OSTUDIO</t>
  </si>
  <si>
    <t>Ostudio, 366, Stockton Street, Brooklyn, Kings County, New York, 11206, United States</t>
  </si>
  <si>
    <t>www.ostudiony.com/ocafe</t>
  </si>
  <si>
    <t>PEARL STREET SUPPER CLUB</t>
  </si>
  <si>
    <t>147 Front Street, Brooklyn, NY, 11201</t>
  </si>
  <si>
    <t>PEOPLE'S WINE</t>
  </si>
  <si>
    <t>115 Delancey Street, Manhattan, NY, 10002</t>
  </si>
  <si>
    <t>PINCH CHINESE</t>
  </si>
  <si>
    <t>Pinch Chinese, 177, Prince Street, University Village, Manhattan, New York County, New York, 10012, United States</t>
  </si>
  <si>
    <t>www.pinchchinese.com</t>
  </si>
  <si>
    <t>RHODORA WINE BAR</t>
  </si>
  <si>
    <t>197 Adelphi Street, Brooklyn, NY, 11205</t>
  </si>
  <si>
    <t>RIALTO GRANDE</t>
  </si>
  <si>
    <t>Rialto Grande, 644, Franklin Avenue, Brooklyn, Kings County, New York, 11238, United States</t>
  </si>
  <si>
    <t>www.rialtogrande.com</t>
  </si>
  <si>
    <t>ROBERTA'S</t>
  </si>
  <si>
    <t>Roberta's, 261, Moore Street, Brooklyn, Kings County, New York, 11206, United States</t>
  </si>
  <si>
    <t>RUFFIAN</t>
  </si>
  <si>
    <t>125 East 7th Street, Manhattan, NY, 10009</t>
  </si>
  <si>
    <t>SAGA</t>
  </si>
  <si>
    <t>70 Pine St, 63rd Floor, New York, NY 10005, USA</t>
  </si>
  <si>
    <t>(212) 339-3963</t>
  </si>
  <si>
    <t>SAINT JULIVERT</t>
  </si>
  <si>
    <t>Saint Julivert Fisherie, 264, Clinton Street, Cobble Hill Historic District, Brooklyn, Kings County, New York, 11201, United States</t>
  </si>
  <si>
    <t>+1-347-987-3710</t>
  </si>
  <si>
    <t>www.saintjulivertbk.com</t>
  </si>
  <si>
    <t>SISTERS</t>
  </si>
  <si>
    <t>Sisters, 900, Fulton Street, Brooklyn, Kings County, New York, 11238, United States</t>
  </si>
  <si>
    <t>+1-347-763-2537</t>
  </si>
  <si>
    <t>www.sistersbklyn.com</t>
  </si>
  <si>
    <t>Spirited Away, 177, Mott Street, Chinatown, Lower Manhattan, Manhattan, New York County, New York, 10012, United States</t>
  </si>
  <si>
    <t>SUNRISE/SUNSET</t>
  </si>
  <si>
    <t>Sunrise Sunset, 351, Evergreen Avenue, Bushwick, Brooklyn, Kings County, New York, 11221, United States</t>
  </si>
  <si>
    <t>www.sunrisesunsetbk.com</t>
  </si>
  <si>
    <t>TEN BELLS</t>
  </si>
  <si>
    <t>Ten Bells, 247, Broome Street, Lower East Side, Manhattan Community Board 3, Manhattan, New York County, New York, 10002, United States</t>
  </si>
  <si>
    <t>+1 212-228-4450</t>
  </si>
  <si>
    <t>tenbellsnyc.com</t>
  </si>
  <si>
    <t>TONCHIN</t>
  </si>
  <si>
    <t>Tonchin New York, 13, West 36th Street, Midtown South, Manhattan Community Board 5, Manhattan, New York County, New York, 10118, United States</t>
  </si>
  <si>
    <t>+1 646-692-9912</t>
  </si>
  <si>
    <t>www.tonchinus.com</t>
  </si>
  <si>
    <t>VINEGAR HILL HOUSE</t>
  </si>
  <si>
    <t>Vinegar Hill House, 72, Hudson Avenue, Brooklyn Navy Yard, Brooklyn, Kings County, New York, 11201, United States</t>
  </si>
  <si>
    <t>info@vinegarhillhouse.com</t>
  </si>
  <si>
    <t>www.vinegarhillhouse.com</t>
  </si>
  <si>
    <t>WEN WEN</t>
  </si>
  <si>
    <t>1025 Manhattan Avenue, Brooklyn, NY, 11222</t>
  </si>
  <si>
    <t>WILDAIR</t>
  </si>
  <si>
    <t>Wildair, 142, Orchard Street, Lower East Side, Manhattan Community Board 3, Manhattan, New York County, New York, 10002, United States</t>
  </si>
  <si>
    <t>+1-646-964-5624</t>
  </si>
  <si>
    <t>wildair.nyc</t>
  </si>
  <si>
    <t>WIN SON</t>
  </si>
  <si>
    <t>Win Son, 159, Graham Avenue, Williamsburg, Brooklyn, Kings County, New York, 11206, United States</t>
  </si>
  <si>
    <t>+1-347-457-6010</t>
  </si>
  <si>
    <t>www.winsonbrooklyn.com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</si>
</sst>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u/>
      <sz val="10.0"/>
      <color theme="10"/>
      <name val="Arial"/>
    </font>
    <font>
      <i/>
      <sz val="10.0"/>
      <color theme="1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rgb="FF000000"/>
      <name val="Arial"/>
    </font>
    <font>
      <u/>
      <sz val="10.0"/>
      <color theme="10"/>
      <name val="Arial"/>
    </font>
    <font>
      <sz val="10.0"/>
      <color rgb="FF9E9E9E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theme="10"/>
      <name val="Arial"/>
    </font>
    <font>
      <sz val="10.0"/>
      <color rgb="FF242424"/>
      <name val="Arial"/>
    </font>
    <font>
      <sz val="10.0"/>
      <color rgb="FF251616"/>
      <name val="Arial"/>
    </font>
    <font>
      <u/>
      <sz val="10.0"/>
      <color theme="10"/>
      <name val="Arial"/>
    </font>
    <font>
      <sz val="10.0"/>
      <color rgb="FF222222"/>
      <name val="Arial"/>
    </font>
    <font>
      <sz val="10.0"/>
      <color rgb="FF5E5E5E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rgb="FF0000FF"/>
      <name val="Arial"/>
    </font>
    <font>
      <color theme="1"/>
      <name val="Calibri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0.0"/>
      <color rgb="FF9C000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B4D"/>
        <bgColor rgb="FF1F3B4D"/>
      </patternFill>
    </fill>
    <fill>
      <patternFill patternType="solid">
        <fgColor rgb="FFE8F1E8"/>
        <bgColor rgb="FFE8F1E8"/>
      </patternFill>
    </fill>
    <fill>
      <patternFill patternType="solid">
        <fgColor rgb="FFFFF7CC"/>
        <bgColor rgb="FFFFF7CC"/>
      </patternFill>
    </fill>
    <fill>
      <patternFill patternType="solid">
        <fgColor rgb="FFF2F2F2"/>
        <bgColor rgb="FFF2F2F2"/>
      </patternFill>
    </fill>
    <fill>
      <patternFill patternType="solid">
        <fgColor rgb="FFFFD9D9"/>
        <bgColor rgb="FFFFD9D9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3" numFmtId="49" xfId="0" applyAlignment="1" applyBorder="1" applyFont="1" applyNumberFormat="1">
      <alignment horizontal="left" vertical="center"/>
    </xf>
    <xf borderId="2" fillId="2" fontId="2" numFmtId="0" xfId="0" applyBorder="1" applyFill="1" applyFont="1"/>
    <xf borderId="1" fillId="0" fontId="6" numFmtId="49" xfId="0" applyAlignment="1" applyBorder="1" applyFont="1" applyNumberFormat="1">
      <alignment horizontal="left" vertical="center"/>
    </xf>
    <xf borderId="2" fillId="3" fontId="7" numFmtId="0" xfId="0" applyBorder="1" applyFill="1" applyFont="1"/>
    <xf borderId="1" fillId="0" fontId="8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0" fillId="0" fontId="3" numFmtId="0" xfId="0" applyFont="1"/>
    <xf borderId="0" fillId="0" fontId="9" numFmtId="0" xfId="0" applyFont="1"/>
    <xf borderId="0" fillId="0" fontId="10" numFmtId="0" xfId="0" applyFont="1"/>
    <xf borderId="1" fillId="0" fontId="11" numFmtId="49" xfId="0" applyAlignment="1" applyBorder="1" applyFont="1" applyNumberFormat="1">
      <alignment horizontal="left" shrinkToFit="0" vertical="center" wrapText="1"/>
    </xf>
    <xf borderId="0" fillId="0" fontId="12" numFmtId="0" xfId="0" applyFont="1"/>
    <xf borderId="0" fillId="0" fontId="5" numFmtId="0" xfId="0" applyFont="1"/>
    <xf borderId="2" fillId="5" fontId="5" numFmtId="0" xfId="0" applyBorder="1" applyFill="1" applyFont="1"/>
    <xf borderId="0" fillId="0" fontId="3" numFmtId="0" xfId="0" applyFont="1"/>
    <xf borderId="0" fillId="0" fontId="13" numFmtId="0" xfId="0" applyAlignment="1" applyFont="1">
      <alignment horizontal="center" vertical="center"/>
    </xf>
    <xf borderId="1" fillId="4" fontId="14" numFmtId="49" xfId="0" applyAlignment="1" applyBorder="1" applyFill="1" applyFont="1" applyNumberFormat="1">
      <alignment horizontal="left" vertical="center"/>
    </xf>
    <xf borderId="1" fillId="4" fontId="3" numFmtId="49" xfId="0" applyAlignment="1" applyBorder="1" applyFill="1" applyFont="1" applyNumberFormat="1">
      <alignment horizontal="left" vertical="center"/>
    </xf>
    <xf borderId="0" fillId="0" fontId="15" numFmtId="0" xfId="0" applyAlignment="1" applyFont="1">
      <alignment shrinkToFit="0" vertical="center" wrapText="1"/>
    </xf>
    <xf borderId="0" fillId="0" fontId="16" numFmtId="0" xfId="0" applyFont="1"/>
    <xf borderId="0" fillId="0" fontId="17" numFmtId="0" xfId="0" applyFont="1"/>
    <xf borderId="0" fillId="0" fontId="18" numFmtId="0" xfId="0" applyFont="1"/>
    <xf borderId="1" fillId="4" fontId="19" numFmtId="0" xfId="0" applyAlignment="1" applyBorder="1" applyFill="1" applyFont="1">
      <alignment horizontal="left" vertical="center"/>
    </xf>
    <xf borderId="0" fillId="0" fontId="20" numFmtId="0" xfId="0" applyFont="1"/>
    <xf borderId="0" fillId="0" fontId="10" numFmtId="0" xfId="0" applyAlignment="1" applyFont="1">
      <alignment horizontal="center" vertical="center"/>
    </xf>
    <xf borderId="0" fillId="0" fontId="21" numFmtId="0" xfId="0" applyFont="1"/>
    <xf borderId="0" fillId="0" fontId="16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4" fontId="23" numFmtId="49" xfId="0" applyAlignment="1" applyBorder="1" applyFill="1" applyFont="1" applyNumberFormat="1">
      <alignment horizontal="left" shrinkToFit="0" vertical="center" wrapText="1"/>
    </xf>
    <xf borderId="1" fillId="4" fontId="24" numFmtId="49" xfId="0" applyAlignment="1" applyBorder="1" applyFill="1" applyFont="1" applyNumberFormat="1">
      <alignment horizontal="left" readingOrder="0" vertical="center"/>
    </xf>
    <xf borderId="0" fillId="0" fontId="25" numFmtId="49" xfId="0" applyAlignment="1" applyFont="1" applyNumberFormat="1">
      <alignment readingOrder="0"/>
    </xf>
    <xf borderId="1" fillId="4" fontId="3" numFmtId="49" xfId="0" applyAlignment="1" applyBorder="1" applyFill="1" applyFont="1" applyNumberFormat="1">
      <alignment horizontal="left" readingOrder="0" vertical="center"/>
    </xf>
    <xf borderId="1" fillId="4" fontId="26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4" fontId="27" numFmtId="0" xfId="0" applyAlignment="1" applyBorder="1" applyFill="1" applyFont="1">
      <alignment horizontal="left" readingOrder="0" vertical="center"/>
    </xf>
    <xf borderId="1" fillId="0" fontId="3" numFmtId="49" xfId="0" applyAlignment="1" applyBorder="1" applyFont="1" applyNumberFormat="1">
      <alignment horizontal="left" readingOrder="0" vertical="center"/>
    </xf>
    <xf borderId="1" fillId="4" fontId="3" numFmtId="0" xfId="0" applyAlignment="1" applyBorder="1" applyFill="1" applyFont="1">
      <alignment horizontal="left" readingOrder="0" vertical="center"/>
    </xf>
    <xf borderId="1" fillId="6" fontId="28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hop@theomahome.com" TargetMode="External"/><Relationship Id="rId84" Type="http://schemas.openxmlformats.org/officeDocument/2006/relationships/hyperlink" Target="https://banterbrooklyn.com/" TargetMode="External"/><Relationship Id="rId83" Type="http://schemas.openxmlformats.org/officeDocument/2006/relationships/hyperlink" Target="https://www.ledivenyc.com/" TargetMode="External"/><Relationship Id="rId42" Type="http://schemas.openxmlformats.org/officeDocument/2006/relationships/hyperlink" Target="mailto:events@claudettenyc.com" TargetMode="External"/><Relationship Id="rId86" Type="http://schemas.openxmlformats.org/officeDocument/2006/relationships/hyperlink" Target="https://www.thespaniardnyc.com/info/" TargetMode="External"/><Relationship Id="rId41" Type="http://schemas.openxmlformats.org/officeDocument/2006/relationships/hyperlink" Target="mailto:joy@ninhaonyc.com" TargetMode="External"/><Relationship Id="rId85" Type="http://schemas.openxmlformats.org/officeDocument/2006/relationships/hyperlink" Target="https://radegasthall.com/contact/" TargetMode="External"/><Relationship Id="rId44" Type="http://schemas.openxmlformats.org/officeDocument/2006/relationships/hyperlink" Target="mailto:info@thebronzeowlnyc.com" TargetMode="External"/><Relationship Id="rId88" Type="http://schemas.openxmlformats.org/officeDocument/2006/relationships/hyperlink" Target="https://soft-bar.com/" TargetMode="External"/><Relationship Id="rId43" Type="http://schemas.openxmlformats.org/officeDocument/2006/relationships/hyperlink" Target="https://www.google.com/search?q=THE+BRONZE+OWL%0949+West+32nd+Street%2C+New+York%2C+New+York+10001%0D%0Acontact&amp;sca_esv=8b4659d1f6f28da8&amp;rlz=1C1GCEU_enUS1211US1211&amp;sxsrf=APpeQnvsWEqd3lyTEagGhcaXk_9HzMVmSw%3A1788467243677&amp;ei=K9iZarL3KMmfkPIP2czgyAU&amp;biw=2021&amp;bih=972&amp;ved=2ahUKEwjyuIHWn9OWAxXJD0QIHVkmGFkQ4dUDegQIBhAM&amp;uact=5&amp;oq=THE+BRONZE+OWL%0949+West+32nd+Street%2C+New+York%2C+New+York+10001%0D%0Acontact&amp;gs_lp=Egxnd3Mtd2l6LXNlcnAiRFRIRSBCUk9OWkUgT1dMCTQ5IFdlc3QgMzJuZCBTdHJlZXQsIE5ldyBZb3JrLCBOZXcgWW9yayAxMDAwMQpjb250YWN0MgoQABhHGNYEGLADMgoQABhHGNYEGLADMgoQABhHGNYEGLADMgoQABhHGNYEGLADMgoQABhHGNYEGLADMgoQABhHGNYEGLADMgoQABhHGNYEGLADMgoQABhHGNYEGLADMg4QABjkAhjWBBiwA9gBATIOEAAY5AIY1gQYsAPYAQEyDhAAGOQCGNYEGLAD2AEBMhcQLhjcBhi4BhjaBhjYAhjIAxiwA9gBATIXEC4Y3AYYuAYY2gYY2AIYyAMYsAPYAQEyFxAuGNwGGLgGGNoGGNgCGMgDGLAD2AEBMhcQLhjcBhi4BhjaBhjYAhjIAxiwA9gBAUisFlDKBFjpFXABeAGQAQCYAQCgAQCqAQC4AQPIAQD4AQL4AQGYAgGgAg2YAwCIBgGQBg-6BgYIARABGAmSBwExoAcAsgcAuAcAwgcDMy0xyAcKgAgB&amp;sclient=gws-wiz-serp" TargetMode="External"/><Relationship Id="rId87" Type="http://schemas.openxmlformats.org/officeDocument/2006/relationships/hyperlink" Target="https://air.inc/about" TargetMode="External"/><Relationship Id="rId46" Type="http://schemas.openxmlformats.org/officeDocument/2006/relationships/hyperlink" Target="https://www.google.com/search?q=NOZ+17%09458+West+17th+Street%2C+New+York%2C+New+York+10011%0D%0A&amp;sca_esv=8b4659d1f6f28da8&amp;rlz=1C1GCEU_enUS1211US1211&amp;sxsrf=APpeQnvgG-U8aRQ66LdYc9zdrtnxdVE15A%3A1788467557404&amp;ei=ZdmZarybGOiWkPIP2Iy3mAI&amp;biw=2021&amp;bih=972&amp;ved=2ahUKEwj84c3roNOWAxVoC0QIHVjGDSMQ4dUDegQIBhAM&amp;uact=5&amp;oq=NOZ+17%09458+West+17th+Street%2C+New+York%2C+New+York+10011%0D%0A&amp;gs_lp=Egxnd3Mtd2l6LXNlcnAiNk5PWiAxNwk0NTggV2VzdCAxN3RoIFN0cmVldCwgTmV3IFlvcmssIE5ldyBZb3JrIDEwMDExCjIKEAAYRxjWBBiwAzIKEAAYRxjWBBiwAzIKEAAYRxjWBBiwAzIKEAAYRxjWBBiwAzIKEAAYRxjWBBiwAzIKEAAYRxjWBBiwAzIKEAAYRxjWBBiwAzIKEAAYRxjWBBiwAzINEAAYgAQYigUYQxiwAzIOEAAY5AIY1gQYsAPYAQEyDhAAGOQCGNYEGLAD2AEBMhcQLhjcBhi4BhjaBhjYAhjIAxiwA9gBATIXEC4Y3AYYuAYY2gYY2AIYyAMYsAPYAQEyFxAuGNgCGLgGGNoGGNwGGMgDGLAD2AEBMhcQLhjcBhi4BhjaBhjYAhjIAxiwA9gBAUjdC1CeBFieBHABeAGQAQCYAQCgAQCqAQC4AQPIAQD4AQL4AQGYAgGgAg2YAwCIBgGQBg-6BgYIARABGAmSBwExoAcAsgcAuAcAwgcDMy0xyAcKgAgB&amp;sclient=gws-wiz-serp" TargetMode="External"/><Relationship Id="rId45" Type="http://schemas.openxmlformats.org/officeDocument/2006/relationships/hyperlink" Target="https://www.google.com/search?q=BAR+BEDFORD&amp;rlz=1C1GCEU_enUS1211US1211&amp;oq=BAR+BEDFORD&amp;gs_lcrp=EgZjaHJvbWUyBggAEEUYOTIHCAEQABiABDINCAIQLhivARjHARiABDIHCAMQABiABDIHCAQQABiABDIHCAUQABiABDIHCAYQABiABDIHCAcQABiABDIICAgQABgWGB4yCAgJEAAYFhge0gEHOTY5ajBqNKgCALACAA&amp;sourceid=chrome&amp;source=chrome.ob&amp;ie=UTF-8" TargetMode="External"/><Relationship Id="rId89" Type="http://schemas.openxmlformats.org/officeDocument/2006/relationships/hyperlink" Target="https://www.lifethymemarket.com/contact" TargetMode="External"/><Relationship Id="rId80" Type="http://schemas.openxmlformats.org/officeDocument/2006/relationships/hyperlink" Target="https://nowadays.nyc/about/" TargetMode="External"/><Relationship Id="rId82" Type="http://schemas.openxmlformats.org/officeDocument/2006/relationships/hyperlink" Target="https://www.ledivenyc.com/" TargetMode="External"/><Relationship Id="rId81" Type="http://schemas.openxmlformats.org/officeDocument/2006/relationships/hyperlink" Target="https://carmelosbushwick.teamdexter.com/" TargetMode="External"/><Relationship Id="rId1" Type="http://schemas.openxmlformats.org/officeDocument/2006/relationships/hyperlink" Target="https://www.pdtnyc.com/private-events" TargetMode="External"/><Relationship Id="rId2" Type="http://schemas.openxmlformats.org/officeDocument/2006/relationships/hyperlink" Target="https://www.pdtnyc.com/" TargetMode="External"/><Relationship Id="rId3" Type="http://schemas.openxmlformats.org/officeDocument/2006/relationships/hyperlink" Target="https://www.google.com/search?q=roxy+hotel+nyc&amp;rlz=1C1GCEU_enUS1211US1211&amp;oq=roxy+hotel+nyc&amp;gs_lcrp=EgZjaHJvbWUyBggAEEUYOTIHCAEQABiABDIHCAIQABiABDINCAMQLhivARjHARiABDITCAQQLhivARjHARiABBiYBRiZBTIHCAUQABiABDIHCAYQABiABDINCAcQLhivARjHARiABDIHCAgQABiABDIHCAkQABiABNIBCDE3OThqMGo5qAIAsAIA&amp;sourceid=chrome&amp;source=chrome.ob&amp;ie=UTF-8" TargetMode="External"/><Relationship Id="rId4" Type="http://schemas.openxmlformats.org/officeDocument/2006/relationships/hyperlink" Target="mailto:info@atomixnyc.com" TargetMode="External"/><Relationship Id="rId9" Type="http://schemas.openxmlformats.org/officeDocument/2006/relationships/hyperlink" Target="https://www.google.com/search?q=THE+MANNER+nyc+phone+number+and+email&amp;sca_esv=b0cde7a46b5a0bd4&amp;rlz=1C1GCEU_enUS1211US1211&amp;sxsrf=APpeQnt98OrCekr6lJZZRp88yfShowXS9w%3A1788386902384&amp;ei=Vp6Yau6NF-PnkPIPsp_8iAw&amp;biw=2021&amp;bih=972&amp;ved=2ahUKEwjukKaw9NCWAxXjM0QIHbIPH8EQ4dUDegQIBhAM&amp;uact=5&amp;oq=THE+MANNER+nyc+phone+number+and+email&amp;gs_lp=Egxnd3Mtd2l6LXNlcnAiJVRIRSBNQU5ORVIgbnljIHBob25lIG51bWJlciBhbmQgZW1haWwyBRAhGKABMgUQIRigATIFECEYqwJIwzlQ7QRYkDhwA3gBkAEAmAFXoAGrD6oBAjI4uAEDyAEA-AEC-AEBmAIdoAK5D8ICChAAGEcY1gQYsAPCAhcQLhjcBhi4BhjaBhjYAhjIAxiwA9gBAcICBRAAGIAEwgIKEAAYgAQYFBiHAsICCxAuGIAEGLEDGIMBwgIREC4YrwEYxwEYgAQYmAUYmgXCAgkQABiABBgKGAvCAggQLhjyBhiPB8ICBhAAGBYYHsICCxAAGIAEGIoFGIYDwgIIEAAYgAQYogTCAgUQABjvBZgDAOIDBRIBMSBAiAYBkAYQugYGCAEQARgZkgcCMjmgB9tysgcCMja4B5sPwgcJMi4xNC4xMi4xyAdbgAgB&amp;sclient=gws-wiz-serp" TargetMode="External"/><Relationship Id="rId48" Type="http://schemas.openxmlformats.org/officeDocument/2006/relationships/hyperlink" Target="https://www.google.com/search?q=ESSENTIAL+BY+CHRISTOPHE+2178+Broadway%2C+New+York%2C+New+York+10024&amp;rlz=1C1GCEU_enUS1211US1211&amp;oq=ESSENTIAL+BY+CHRISTOPHE%092178+Broadway%2C+New+York%2C+New+York+10024&amp;gs_lcrp=EgZjaHJvbWUyBggAEEUYOdIBBzQ3N2owajSoAgCwAgE&amp;sourceid=chrome&amp;source=chrome.ob&amp;ie=UTF-8" TargetMode="External"/><Relationship Id="rId47" Type="http://schemas.openxmlformats.org/officeDocument/2006/relationships/hyperlink" Target="mailto:reservations@sushinoz.com" TargetMode="External"/><Relationship Id="rId49" Type="http://schemas.openxmlformats.org/officeDocument/2006/relationships/hyperlink" Target="mailto:Melissa@rubypr.com" TargetMode="External"/><Relationship Id="rId5" Type="http://schemas.openxmlformats.org/officeDocument/2006/relationships/hyperlink" Target="mailto:info@crownshy.nyc" TargetMode="External"/><Relationship Id="rId6" Type="http://schemas.openxmlformats.org/officeDocument/2006/relationships/hyperlink" Target="https://www.google.com/search?q=happier+grocery+nyc&amp;sca_esv=b0cde7a46b5a0bd4&amp;rlz=1C1GCEU_enUS1211US1211&amp;biw=2021&amp;bih=972&amp;sxsrf=APpeQnv3GL6OZlyXUKxOAPN23d6vGJsqyw%3A1788386436631&amp;ei=hJyYar6RJsCuur8PweG0oQI&amp;ved=2ahUKEwi-45rS8tCWAxVAl-4BHcEwLSQQ4dUDegQIBhAM&amp;uact=5&amp;oq=happier+grocery+nyc&amp;gs_lp=Egxnd3Mtd2l6LXNlcnAiE2hhcHBpZXIgZ3JvY2VyeSBueWMyCxAAGIAEGIoFGJECMggQLhjyBhiPBzIFEAAYgAQyBRAAGIAEMgYQABgWGB4yBhAAGBYYHjIGEAAYFhgeMgYQABgWGB4yBhAAGBYYHjIGEAAYFhgeSKcmUNQMWJkkcAN4AZABAJgBc6AB-QqqAQQxOC4xuAEDyAEA-AEBmAIWoALUC8ICChAAGEcY1gQYsAPCAg4QABjkAhjWBBiwA9gBAcICFxAuGNwGGLgGGNoGGNgCGMgDGLAD2AEBwgIEECMYJ8ICERAuGIAEGIoFGJECGMcBGK8BwgIOEC4YgAQYsQMYxwEY0QPCAhQQLhiABBixAxiDARjHARivARiOBcICCBAAGIAEGLEDwgIOEC4YxwEYsQMY0QMYgATCAhEQLhiABBixAxjHARivARiOBcICCBAAGIAEGMkDwgILEAAYgAQYigUYkgPCAgUQLhiABMICDRAAGIAEGIoFGEMYyQPCAhQQLhiABBiKBRiRAhixAxjHARivAcICDRAuGEMYsQMYgAQYigXCAg0QABiABBiKBRhDGLEDwgIQEC4YgAQYigUYQxjHARivAcICChAAGIAEGBQYhwLCAg4QLhiABBjHARivARiOBcICChAAGIAEGIoFGEPCAg0QLhiABBiKBRhDGLEDwgIUEC4YrwEYxwEYkQIYsQMYgAQYigXCAggQLhiABBixA8ICCxAuGK8BGMcBGIAEwgILEC4YgAQYxwEYrwGYAwCIBgGQBg66BgYIARABGAmSBwQxOS4zoAfexQGyBwQxNi4zuAfBC8IHCDAuMTMuOC4xyAdBgAgB&amp;sclient=gws-wiz-serp" TargetMode="External"/><Relationship Id="rId7" Type="http://schemas.openxmlformats.org/officeDocument/2006/relationships/hyperlink" Target="mailto:PARTNERSHIPS@HAPPIERGROCERY.COM%0a" TargetMode="External"/><Relationship Id="rId8" Type="http://schemas.openxmlformats.org/officeDocument/2006/relationships/hyperlink" Target="https://www.google.com/search?q=sosh+nyc+resutrant+phoen+numebr&amp;rlz=1C1GCEU_enUS1211US1211&amp;oq=sosh+nyc+resutrant+phoen+numebr&amp;gs_lcrp=EgZjaHJvbWUyBggAEEUYOTIJCAEQIRgKGKABMgkIAhAhGAoYoAEyCQgDECEYChigATIJCAQQIRgKGKAB0gEINDA5M2owajSoAgCwAgE&amp;sourceid=chrome&amp;source=chrome.ob&amp;ie=UTF-8" TargetMode="External"/><Relationship Id="rId73" Type="http://schemas.openxmlformats.org/officeDocument/2006/relationships/hyperlink" Target="mailto:thecoyoteclubbrooklyn@gmail.com" TargetMode="External"/><Relationship Id="rId72" Type="http://schemas.openxmlformats.org/officeDocument/2006/relationships/hyperlink" Target="mailto:ornithologycocktail@gmail.com" TargetMode="External"/><Relationship Id="rId31" Type="http://schemas.openxmlformats.org/officeDocument/2006/relationships/hyperlink" Target="mailto:speakup@overthrowhospitality.com" TargetMode="External"/><Relationship Id="rId75" Type="http://schemas.openxmlformats.org/officeDocument/2006/relationships/hyperlink" Target="mailto:shanna@withothersbrooklyn.com" TargetMode="External"/><Relationship Id="rId30" Type="http://schemas.openxmlformats.org/officeDocument/2006/relationships/hyperlink" Target="https://www.google.com/search?q=AMOR+Y+AMARGO+nyc&amp;rlz=1C1GCEU_enUS1211US1211&amp;oq=AMOR+Y+AMARGO+nyc&amp;gs_lcrp=EgZjaHJvbWUyBggAEEUYOTINCAEQLhivARjHARiABDIICAIQABgWGB4yCAgDEAAYFhgeMggIBBAAGBYYHjIHCAUQABjvBTIHCAYQABjvBdIBCDEyNjdqMGo0qAIAsAIA&amp;sourceid=chrome&amp;source=chrome.ob&amp;ie=UTF-8" TargetMode="External"/><Relationship Id="rId74" Type="http://schemas.openxmlformats.org/officeDocument/2006/relationships/hyperlink" Target="mailto:office@barlunatico.com" TargetMode="External"/><Relationship Id="rId33" Type="http://schemas.openxmlformats.org/officeDocument/2006/relationships/hyperlink" Target="https://www.google.com/search?q=ROEYS%0D%0Anyc+phon+number&amp;sca_esv=b1c981e37f55a22b&amp;rlz=1C1GCEU_enUS1211US1211&amp;sxsrf=APpeQns07k5pa4c64tAyCO7TG3uIOfG05w%3A1788458128066&amp;ei=kLSZaqrPA4-hkPIPnoaZCA&amp;biw=2021&amp;bih=972&amp;ved=2ahUKEwiq16zb_dKWAxWPEEQIHR5DBgEQ4dUDegQIBhAM&amp;uact=5&amp;oq=ROEYS%0D%0Anyc+phon+number&amp;gs_lp=Egxnd3Mtd2l6LXNlcnAiFVJPRVlTCm55YyBwaG9uIG51bWJlckgAUABYAHAAeAGQAQCYAQCgAQCqAQC4AQPIAQD4AQL4AQGYAgCgAgCYAwCSBwCgBwCyBwC4BwDCBwDIBwCACAE&amp;sclient=gws-wiz-serp" TargetMode="External"/><Relationship Id="rId77" Type="http://schemas.openxmlformats.org/officeDocument/2006/relationships/hyperlink" Target="https://www.instagram.com/timeagainbar/?hl=en" TargetMode="External"/><Relationship Id="rId32" Type="http://schemas.openxmlformats.org/officeDocument/2006/relationships/hyperlink" Target="https://www.google.com/search?q=FREVO+48+West+8th+Street%2C+New+York%2C+New+York+10011&amp;rlz=1C1GCEU_enUS1211US1211&amp;oq=FREVO%0948+West+8th+Street%2C+New+York%2C+New+York+10011&amp;gs_lcrp=EgZjaHJvbWUyBggAEEUYOTIICAEQABgWGB4yDQgCEAAYhgMYgAQYigUyBwgDEAAY7wUyBwgEEAAY7wUyBwgFEAAY7wUyBwgGEAAY7wXSAQcyNTJqMGo0qAIAsAIA&amp;sourceid=chrome&amp;source=chrome.ob&amp;ie=UTF-8" TargetMode="External"/><Relationship Id="rId76" Type="http://schemas.openxmlformats.org/officeDocument/2006/relationships/hyperlink" Target="mailto:timeagainbar@gmail.com" TargetMode="External"/><Relationship Id="rId35" Type="http://schemas.openxmlformats.org/officeDocument/2006/relationships/hyperlink" Target="https://www.google.com/search?q=ilili+midtown&amp;sca_esv=b1c981e37f55a22b&amp;rlz=1C1GCEU_enUS1211US1211&amp;biw=2021&amp;bih=972&amp;sxsrf=APpeQns29Ee_dmfCc3mS8CKx6udhai2ZHA%3A1788458799549&amp;ei=L7eZaoeLIanLkPIPivfrkAo&amp;ved=2ahUKEwjH3sSbgNOWAxWpJUQIHYr7GqIQ4dUDegQIBhAM&amp;uact=5&amp;oq=ilili+midtown&amp;gs_lp=Egxnd3Mtd2l6LXNlcnAiDWlsaWxpIG1pZHRvd24yCxAuGK8BGMcBGIAEMgUQABiABDIFEAAYgAQyChAAGIAEGBQYhwIyBRAAGIAEMgUQABiABDIFEAAYgAQyBRAAGIAEMgUQABiABDIFEAAYgARIzg1QiAZY2QtwAngBkAEAmAE-oAHQAqoBATe4AQPIAQD4AQGYAgmgAvwCwgIKEAAYRxjWBBiwA8ICDRAAGIAEGIoFGEMYsAPCAhMQLhiABBiKBRhDGMcBGK8BGLADwgIXEC4Y2AIYuAYY2gYY3AYYyAMYsAPYAQHCAhcQLhjcBhi4BhjaBhjYAhjIAxiwA9gBAcICEBAuGIAEGIoFGEMYxwEYrwGYAwCIBgGQBhK6BgYIARABGBmSBwE5oAe9MLIHATe4B-4CwgcFMC41LjTIBx6ACAE&amp;sclient=gws-wiz-serp" TargetMode="External"/><Relationship Id="rId79" Type="http://schemas.openxmlformats.org/officeDocument/2006/relationships/hyperlink" Target="https://www.lilianewyork.com/contact/" TargetMode="External"/><Relationship Id="rId34" Type="http://schemas.openxmlformats.org/officeDocument/2006/relationships/hyperlink" Target="mailto:reservations@sushinoz.com?subject=%20%E3%81%93%E3%82%93%E3%81%AB%E3%81%A1%E3%81%AF" TargetMode="External"/><Relationship Id="rId78" Type="http://schemas.openxmlformats.org/officeDocument/2006/relationships/hyperlink" Target="https://www.mrfongs.com/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mailto:info@lappartement4f.com" TargetMode="External"/><Relationship Id="rId37" Type="http://schemas.openxmlformats.org/officeDocument/2006/relationships/hyperlink" Target="mailto:info@loveeats.com" TargetMode="External"/><Relationship Id="rId36" Type="http://schemas.openxmlformats.org/officeDocument/2006/relationships/hyperlink" Target="mailto:midtowncontact@ililirestaurants.com" TargetMode="External"/><Relationship Id="rId39" Type="http://schemas.openxmlformats.org/officeDocument/2006/relationships/hyperlink" Target="https://www.google.com/search?q=the+oma+shop+phone+number&amp;rlz=1C1GCEU_enUS1211US1211&amp;oq=the+oma+shop+phone+number&amp;gs_lcrp=EgZjaHJvbWUyCQgAEEUYORigATIHCAEQIRigATIHCAIQIRigAdIBCDQ4MzdqMGo0qAIAsAIB&amp;sourceid=chrome&amp;source=chrome.ob&amp;ie=UTF-8" TargetMode="External"/><Relationship Id="rId38" Type="http://schemas.openxmlformats.org/officeDocument/2006/relationships/hyperlink" Target="mailto:rustmaria1977@gmail.com" TargetMode="External"/><Relationship Id="rId62" Type="http://schemas.openxmlformats.org/officeDocument/2006/relationships/hyperlink" Target="https://www.google.com/search?q=BOTTLEROCKET+WINE+%26+SPIRIT+5+West+19th+Street%2C+Manhattan%2C+NY%2C+10011&amp;rlz=1C1GCEU_enUS1211US1211&amp;oq=BOTTLEROCKET+WINE+%26+SPIRIT%095+West+19th+Street%2C+Manhattan%2C+NY%2C+10011&amp;gs_lcrp=EgZjaHJvbWUyBggAEEUYOdIBBzQwOWowajSoAgCwAgA&amp;sourceid=chrome&amp;source=chrome.ob&amp;ie=UTF-8" TargetMode="External"/><Relationship Id="rId61" Type="http://schemas.openxmlformats.org/officeDocument/2006/relationships/hyperlink" Target="mailto:info@nourynewyork.com" TargetMode="External"/><Relationship Id="rId20" Type="http://schemas.openxmlformats.org/officeDocument/2006/relationships/hyperlink" Target="mailto:reservations@aman.com" TargetMode="External"/><Relationship Id="rId64" Type="http://schemas.openxmlformats.org/officeDocument/2006/relationships/hyperlink" Target="mailto:membership@localhost.com" TargetMode="External"/><Relationship Id="rId63" Type="http://schemas.openxmlformats.org/officeDocument/2006/relationships/hyperlink" Target="mailto:rocketmail@bottlerocket.com" TargetMode="External"/><Relationship Id="rId22" Type="http://schemas.openxmlformats.org/officeDocument/2006/relationships/hyperlink" Target="https://www.google.com/search?q=AVERY+FISHER+HALL%0D%0Acontact&amp;sca_esv=daafaa10f68735e4&amp;rlz=1C1GCEU_enUS1211US1211&amp;sxsrf=APpeQnt4Z0tD6krCouFQpd6IxNOvqtiPqQ%3A1788456570047&amp;ei=eq6ZasawApLPkPIPscTryAY&amp;biw=2021&amp;bih=972&amp;ved=2ahUKEwjG1bb099KWAxWSJ0QIHTHiGmkQ4dUDegQIBhAM&amp;uact=5&amp;oq=AVERY+FISHER+HALL%0D%0Acontact&amp;gs_lp=Egxnd3Mtd2l6LXNlcnAiGUFWRVJZIEZJU0hFUiBIQUxMCmNvbnRhY3RIkhJQoQVYzxFwA3gAkAEAmAEAoAEAqgEAuAEDyAEA-AEC-AEBmAIAoAIAmAMAiAYBkgcAoAcAsgcAuAcAwgcAyAcAgAgB&amp;sclient=gws-wiz-serp" TargetMode="External"/><Relationship Id="rId66" Type="http://schemas.openxmlformats.org/officeDocument/2006/relationships/hyperlink" Target="mailto:dimesmarket@dimesnyc.com" TargetMode="External"/><Relationship Id="rId21" Type="http://schemas.openxmlformats.org/officeDocument/2006/relationships/hyperlink" Target="mailto:reservations@barmadonna.com" TargetMode="External"/><Relationship Id="rId65" Type="http://schemas.openxmlformats.org/officeDocument/2006/relationships/hyperlink" Target="mailto:PARTNERSHIPS@HAPPIERGROCERY.COM%0a" TargetMode="External"/><Relationship Id="rId24" Type="http://schemas.openxmlformats.org/officeDocument/2006/relationships/hyperlink" Target="https://www.instagram.com/saabrooklyn/" TargetMode="External"/><Relationship Id="rId68" Type="http://schemas.openxmlformats.org/officeDocument/2006/relationships/hyperlink" Target="mailto:hello@rhodorabk.com" TargetMode="External"/><Relationship Id="rId23" Type="http://schemas.openxmlformats.org/officeDocument/2006/relationships/hyperlink" Target="https://www.google.com/search?q=MINUS+MOONSHINE&amp;sca_esv=daafaa10f68735e4&amp;rlz=1C1GCEU_enUS1211US1211&amp;biw=2021&amp;bih=972&amp;sxsrf=APpeQnsPFsgAyTJwGKIQXjYOVE6GlO4Cxg%3A1788456719500&amp;ei=D6-ZavCRHqXnkPIPpe270Ac&amp;ved=2ahUKEwiw1di7-NKWAxWlM0QIHaX2DnoQ4dUDegQIBhAM&amp;uact=5&amp;oq=MINUS+MOONSHINE&amp;gs_lp=Egxnd3Mtd2l6LXNlcnAiD01JTlVTIE1PT05TSElORTIEECMYJzIREC4YrwEYxwEYkQIYgAQYigUyCxAuGIAEGMcBGK8BMgYQABgWGB4yBhAAGBYYHjIGEAAYFhgeMgYQABgWGB4yBhAAGBYYHjIGEAAYFhgeMgYQABgWGB5IoQdQ2gVY2gVwAXgAkAEAmAFWoAF8qgEBMrgBA8gBAPgBAZgCAqACX8ICChAAGEcY1gQYsAOYAwCIBgGQBgKSBwEyoAfHC7IHATG4B1vCBwUwLjEuMcgHBYAIAQ&amp;sclient=gws-wiz-serp" TargetMode="External"/><Relationship Id="rId67" Type="http://schemas.openxmlformats.org/officeDocument/2006/relationships/hyperlink" Target="mailto:bonsoir@entrenousbrooklyn.com%20" TargetMode="External"/><Relationship Id="rId60" Type="http://schemas.openxmlformats.org/officeDocument/2006/relationships/hyperlink" Target="mailto:mgmt@saintjameslibations.com" TargetMode="External"/><Relationship Id="rId26" Type="http://schemas.openxmlformats.org/officeDocument/2006/relationships/hyperlink" Target="https://lakesideemotions.com/" TargetMode="External"/><Relationship Id="rId25" Type="http://schemas.openxmlformats.org/officeDocument/2006/relationships/hyperlink" Target="mailto:info@lakesideemotions.com" TargetMode="External"/><Relationship Id="rId69" Type="http://schemas.openxmlformats.org/officeDocument/2006/relationships/hyperlink" Target="mailto:hello@anaisbk.com" TargetMode="External"/><Relationship Id="rId28" Type="http://schemas.openxmlformats.org/officeDocument/2006/relationships/hyperlink" Target="https://www.google.com/search?q=BOBO+RESTAURANT+nyc&amp;sca_esv=daafaa10f68735e4&amp;rlz=1C1GCEU_enUS1211US1211&amp;sxsrf=APpeQnuqHMwEk_BaUHW0_Bqat5tzSJFXDQ%3A1788457450034&amp;ei=6rGZasrNAeyuur8P8dy4gQ0&amp;biw=2021&amp;bih=972&amp;ved=2ahUKEwjK6oSY-9KWAxVsl-4BHXEuLtAQ4dUDegQIBhAM&amp;uact=5&amp;oq=BOBO+RESTAURANT+nyc&amp;gs_lp=Egxnd3Mtd2l6LXNlcnAiE0JPQk8gUkVTVEFVUkFOVCBueWMyChAAGIAEGBQYhwIyBRAAGIAEMgYQABgWGB4yBhAAGBYYHjIGEAAYFhgeMgYQABgWGB4yBhAAGBYYHjIGEAAYFhgeMgYQABgWGB4yBhAAGBYYHkjcClDMAVixB3ABeAGQAQCYAVKgAfYBqgEBNLgBA8gBAPgBAZgCBaACkwLCAgoQABhHGNYEGLADwgINEAAYgAQYigUYQxiwA8ICFxAuGNgCGLgGGNoGGNwGGMgDGLAD2AEBwgIXEC4Y3AYYuAYY2gYY2AIYyAMYsAPYAQHCAgoQABiABBiKBRhDwgILEC4YrwEYxwEYgATCAgsQLhiABBjHARivAcICCBAAGBYYHhgKmAMAiAYBkAYUugYGCAEQARgZkgcBNaAHzR2yBwE0uAeMAsIHBTAuMS40yAcVgAgB&amp;sclient=gws-wiz-serp" TargetMode="External"/><Relationship Id="rId27" Type="http://schemas.openxmlformats.org/officeDocument/2006/relationships/hyperlink" Target="mailto:huso@husony.com" TargetMode="External"/><Relationship Id="rId29" Type="http://schemas.openxmlformats.org/officeDocument/2006/relationships/hyperlink" Target="https://www.google.com/search?q=CONVENE+AT+1221&amp;rlz=1C1GCEU_enUS1211US1211&amp;oq=CONVENE+AT+1221&amp;gs_lcrp=EgZjaHJvbWUyBggAEEUYOTIICAEQABgWGB4yCAgCEAAYFhgeMgcIAxAAGO8FMgcIBBAAGO8FMgcIBRAAGO8F0gEHMjMyajBqNKgCALACAA&amp;sourceid=chrome&amp;source=chrome.ob&amp;ie=UTF-8" TargetMode="External"/><Relationship Id="rId51" Type="http://schemas.openxmlformats.org/officeDocument/2006/relationships/hyperlink" Target="mailto:hello@neuehouse.com" TargetMode="External"/><Relationship Id="rId50" Type="http://schemas.openxmlformats.org/officeDocument/2006/relationships/hyperlink" Target="https://www.google.com/search?q=NEUEHOUSE+CANTEEN+110+East+25th+Street%2C+New+York%2C+New+York+10010&amp;rlz=1C1GCEU_enUS1211US1211&amp;oq=NEUEHOUSE+CANTEEN%09110+East+25th+Street%2C+New+York%2C+New+York+10010&amp;gs_lcrp=EgZjaHJvbWUyBggAEEUYOdIBBzU4NGowajSoAgCwAgA&amp;sourceid=chrome&amp;source=chrome.ob&amp;ie=UTF-8" TargetMode="External"/><Relationship Id="rId53" Type="http://schemas.openxmlformats.org/officeDocument/2006/relationships/hyperlink" Target="mailto:felice64@felicerestaurants.com" TargetMode="External"/><Relationship Id="rId52" Type="http://schemas.openxmlformats.org/officeDocument/2006/relationships/hyperlink" Target="https://www.google.com/search?q=FELICE+400+East+64th+Street%2C+New+York%2C+New+York+10065&amp;rlz=1C1GCEU_enUS1211US1211&amp;oq=FELICE%09400+East+64th+Street%2C+New+York%2C+New+York+10065&amp;gs_lcrp=EgZjaHJvbWUyBggAEEUYOTIHCAEQABjvBTIHCAIQABjvBTIKCAMQABiABBiiBDIHCAQQABjvBTIKCAUQABiABBiiBNIBBzE4M2owajSoAgCwAgE&amp;sourceid=chrome&amp;source=chrome.ob&amp;ie=UTF-8" TargetMode="External"/><Relationship Id="rId11" Type="http://schemas.openxmlformats.org/officeDocument/2006/relationships/hyperlink" Target="mailto:info@juanyc.com" TargetMode="External"/><Relationship Id="rId55" Type="http://schemas.openxmlformats.org/officeDocument/2006/relationships/hyperlink" Target="mailto:info@ardesia-ny.com" TargetMode="External"/><Relationship Id="rId10" Type="http://schemas.openxmlformats.org/officeDocument/2006/relationships/hyperlink" Target="mailto:press@soho.themanner.com" TargetMode="External"/><Relationship Id="rId54" Type="http://schemas.openxmlformats.org/officeDocument/2006/relationships/hyperlink" Target="https://www.google.com/search?q=ARDESIA+510+West+52nd+Street%2C+New+York%2C+New+York+10019&amp;rlz=1C1GCEU_enUS1211US1211&amp;oq=ARDESIA%09510+West+52nd+Street%2C+New+York%2C+New+York+10019&amp;gs_lcrp=EgZjaHJvbWUyBggAEEUYOTIHCAEQIRirAtIBBzYzMmowajSoAgCwAgE&amp;sourceid=chrome&amp;source=chrome.ob&amp;ie=UTF-8" TargetMode="External"/><Relationship Id="rId13" Type="http://schemas.openxmlformats.org/officeDocument/2006/relationships/hyperlink" Target="https://www.google.com/search?q=HAGS%0D%0A+nyc&amp;sca_esv=b0cde7a46b5a0bd4&amp;rlz=1C1GCEU_enUS1211US1211&amp;biw=2021&amp;bih=972&amp;sxsrf=APpeQntHmaYW0wNX9ZY_zxXlMoNlgIYC6Q%3A1788386852511&amp;ei=JJ6YapzlHp7HkPIPwP2_-Qk&amp;ved=2ahUKEwich8KY9NCWAxWeI0QIHcD-L58Q4dUDegQIBhAM&amp;uact=5&amp;oq=HAGS%0D%0A+nyc&amp;gs_lp=Egxnd3Mtd2l6LXNlcnAiCUhBR1MKIG55YzIKEAAYRxjWBBiwAzIKEAAYRxjWBBiwAzIKEAAYRxjWBBiwAzIKEAAYRxjWBBiwAzIKEAAYRxjWBBiwAzIKEAAYRxjWBBiwAzIKEAAYRxjWBBiwAzIKEAAYRxjWBBiwAzIXEC4Y3AYYuAYY2gYY2AIYyAMYsAPYAQEyFxAuGNwGGLgGGNoGGNgCGMgDGLAD2AEBMhcQLhjcBhi4BhjaBhjYAhjIAxiwA9gBATIXEC4Y3AYYuAYY2gYY2AIYyAMYsAPYAQEyFxAuGNwGGLgGGNoGGNgCGMgDGLAD2AEBMhcQLhjcBhi4BhjaBhjYAhjIAxiwA9gBATIXEC4Y3AYYuAYY2gYY2AIYyAMYsAPYAQEyFxAuGNwGGLgGGNoGGNgCGMgDGLAD2AEBSKYTUPQGWPsPcAN4AJABAJgBTqABTqoBATG4AQPIAQD4AQL4AQGYAgOgAhuYAwCIBgGQBhC6BgYIARABGBmSBwEzoAfCGbIHALgHAMIHBTItMi4xyAcWgAgB&amp;sclient=gws-wiz-serp" TargetMode="External"/><Relationship Id="rId57" Type="http://schemas.openxmlformats.org/officeDocument/2006/relationships/hyperlink" Target="mailto:mixteca@onecornelia.com" TargetMode="External"/><Relationship Id="rId12" Type="http://schemas.openxmlformats.org/officeDocument/2006/relationships/hyperlink" Target="https://www.google.com/search?q=ETC+VENUE+nyc&amp;rlz=1C1GCEU_enUS1211US1211&amp;oq=ETC+VENUE+nyc&amp;gs_lcrp=EgZjaHJvbWUyBggAEEUYOTIICAEQABgWGB4yCAgCEAAYFhgeMg0IAxAAGIYDGIAEGIoFMgoIBBAAGKIEGIkFMgcIBRAAGO8F0gEIMTc0MWowajmoAgawAgHxBbgnmh9uUEer&amp;sourceid=chrome&amp;source=chrome.ob&amp;ie=UTF-8" TargetMode="External"/><Relationship Id="rId56" Type="http://schemas.openxmlformats.org/officeDocument/2006/relationships/hyperlink" Target="mailto:mixteca@onecornelia.com" TargetMode="External"/><Relationship Id="rId91" Type="http://schemas.openxmlformats.org/officeDocument/2006/relationships/hyperlink" Target="https://dimesnyc.com/deli" TargetMode="External"/><Relationship Id="rId90" Type="http://schemas.openxmlformats.org/officeDocument/2006/relationships/hyperlink" Target="https://talbottandarding.com/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www.depanneurwines.com/" TargetMode="External"/><Relationship Id="rId15" Type="http://schemas.openxmlformats.org/officeDocument/2006/relationships/hyperlink" Target="mailto:Chezoskar310@gmail.com" TargetMode="External"/><Relationship Id="rId59" Type="http://schemas.openxmlformats.org/officeDocument/2006/relationships/hyperlink" Target="https://www.google.com/search?q=SAINT+JAMES+LIBATIONS%09178+Irving+Avenue%2C+New+York%2C+New+York+11237%0D%0A&amp;sca_esv=8b4659d1f6f28da8&amp;rlz=1C1GCEU_enUS1211US1211&amp;biw=2021&amp;bih=972&amp;sxsrf=APpeQntZyJnI-fReE8psifr1BvTYuMb4Dg%3A1788468841128&amp;ei=ad6Zao-zB7TLkPIPvY6piQ4&amp;ved=2ahUKEwjPi97PpdOWAxW0JUQIHT1HKuEQ4dUDegQIBhAM&amp;uact=5&amp;oq=SAINT+JAMES+LIBATIONS%09178+Irving+Avenue%2C+New+York%2C+New+York+11237%0D%0A&amp;gs_lp=Egxnd3Mtd2l6LXNlcnAiQlNBSU5UIEpBTUVTIExJQkFUSU9OUwkxNzggSXJ2aW5nIEF2ZW51ZSwgTmV3IFlvcmssIE5ldyBZb3JrIDExMjM3CjIKEAAYRxjWBBiwAzIKEAAYRxjWBBiwAzIKEAAYRxjWBBiwAzIKEAAYRxjWBBiwAzIKEAAYRxjWBBiwAzIKEAAYRxjWBBiwAzIKEAAYRxjWBBiwAzIKEAAYRxjWBBiwAzIXEC4Y3AYYuAYY2gYY2AIYyAMYsAPYAQEyFxAuGNwGGLgGGNoGGNgCGMgDGLAD2AEBMhcQLhjcBhi4BhjaBhjYAhjIAxiwA9gBATIXEC4Y3AYYuAYY2gYY2AIYyAMYsAPYAQEyFxAuGNwGGLgGGNoGGNgCGMgDGLAD2AEBMhcQLhjcBhi4BhjaBhjYAhjIAxiwA9gBATIXEC4Y3AYYuAYY2gYY2AIYyAMYsAPYAQFI1QpQ2QNY2QNwAXgBkAEAmAEAoAEAqgEAuAEDyAEA-AEC-AEBmAIBoAIMmAMAiAYBkAYPugYGCAEQARgZkgcBMaAHALIHALgHAMIHAzMtMcgHCYAIAQ&amp;sclient=gws-wiz-serp" TargetMode="External"/><Relationship Id="rId14" Type="http://schemas.openxmlformats.org/officeDocument/2006/relationships/hyperlink" Target="https://www.google.com/search?q=TERROIR+TRIBECA+nyc&amp;sca_esv=b0cde7a46b5a0bd4&amp;rlz=1C1GCEU_enUS1211US1211&amp;biw=2021&amp;bih=972&amp;sxsrf=APpeQnv_dVbuwLycUyEJJJNsn0HBbD2cBQ%3A1788387200593&amp;ei=gJ-YaoroI47RkPIP_8TwGQ&amp;ved=2ahUKEwiKqL--9dCWAxWOKEQIHX8iPAMQ4dUDegQIBhAM&amp;uact=5&amp;oq=TERROIR+TRIBECA+nyc&amp;gs_lp=Egxnd3Mtd2l6LXNlcnAiE1RFUlJPSVIgVFJJQkVDQSBueWMyCxAuGIAEGMcBGK8BMgsQABiABBiKBRiGAzILEAAYgAQYigUYhgMyCxAAGIAEGIoFGIYDMgsQABiABBiKBRiGAzILEAAYgAQYigUYhgMyBRAAGO8FMgUQABjvBTIIEAAYgAQYogRIuR1QrQRY2htwA3gBkAEAmAFRoAHLAqoBATW4AQPIAQD4AQL4AQGYAgigAq4DwgIKEAAYRxjWBBiwA8ICFxAuGNwGGLgGGNoGGNgCGMgDGLAD2AEBwgIaEC4Y3AYYuAYY2gYY2AIY5QQYyAMYsAPYAQHCAgsQABiABBiKBRiRAsICEBAuGIAEGBQYhwIYxwEYrwHCAgUQABiABMICBhAAGBYYHpgDAIgGAZAGD7oGBggBEAEYGZIHAzcuMaAHvySyBwM0LjG4B5QDwgcLMC4xLjUuMS4wLjHIB1SACAE&amp;sclient=gws-wiz-serp" TargetMode="External"/><Relationship Id="rId58" Type="http://schemas.openxmlformats.org/officeDocument/2006/relationships/hyperlink" Target="https://www.google.com/search?q=L+ABEILLE%09415+Greenwich+Street%2C+New+York%2C+New+York+10013%0D%0A&amp;sca_esv=8b4659d1f6f28da8&amp;rlz=1C1GCEU_enUS1211US1211&amp;biw=2021&amp;bih=972&amp;sxsrf=APpeQntZTqSMR1ae_CBXlsEAXs0hEhTe4w%3A1788468766774&amp;ei=Ht6ZaqzzLriNvMcP-L64wQQ&amp;ved=2ahUKEwis-qOspdOWAxW4Bu8CHXgfLkgQ4dUDegQIBhAM&amp;uact=5&amp;oq=L+ABEILLE%09415+Greenwich+Street%2C+New+York%2C+New+York+10013%0D%0A&amp;gs_lp=Egxnd3Mtd2l6LXNlcnAiOUwgQUJFSUxMRQk0MTUgR3JlZW53aWNoIFN0cmVldCwgTmV3IFlvcmssIE5ldyBZb3JrIDEwMDEzCjIKEAAYRxjWBBiwAzIKEAAYRxjWBBiwAzIKEAAYRxjWBBiwAzIKEAAYRxjWBBiwAzIKEAAYRxjWBBiwAzIKEAAYRxjWBBiwAzIKEAAYRxjWBBiwAzIKEAAYRxjWBBiwAzIOEAAY5AIY1gQYsAPYAQEyDhAAGOQCGNYEGLAD2AEBMg4QABjkAhjWBBiwA9gBATIXEC4Y3AYYuAYY2gYY2AIYyAMYsAPYAQEyFxAuGNwGGLgGGNoGGNgCGMgDGLAD2AEBSLQFUOEDWOEDcAF4AJABAJgBRqABRqoBATG4AQPIAQD4AQL4AQGYAgGgAguYAwCIBgGQBg26BgYIARABGAmSBwExoAfjDbIHALgHAMIHAzMtMcgHCIAIAQ&amp;sclient=gws-wiz-serp" TargetMode="External"/><Relationship Id="rId17" Type="http://schemas.openxmlformats.org/officeDocument/2006/relationships/hyperlink" Target="https://www.google.com/search?q=EDITION+HOTELS%095+Madison+Avenue%2C+Manhattan%2C+NY%2C+10010%0D%0Aemail+and+phoen+number&amp;sca_esv=daafaa10f68735e4&amp;rlz=1C1GCEU_enUS1211US1211&amp;sxsrf=APpeQnuqAEelNXSiLTkha2H1-fs3qrdIGg%3A1788456266650&amp;ei=Sq2ZavuVJ4PKkPIPkbynwAg&amp;biw=2021&amp;bih=972&amp;ved=2ahUKEwj74uDj9tKWAxUDJUQIHRHeCYgQ4dUDegQIBhAM&amp;uact=5&amp;oq=EDITION+HOTELS%095+Madison+Avenue%2C+Manhattan%2C+NY%2C+10010%0D%0Aemail+and+phoen+number&amp;gs_lp=Egxnd3Mtd2l6LXNlcnAiTEVESVRJT04gSE9URUxTCTUgTWFkaXNvbiBBdmVudWUsIE1hbmhhdHRhbiwgTlksIDEwMDEwCmVtYWlsIGFuZCBwaG9lbiBudW1iZXIyChAAGEcY1gQYsAMyChAAGEcY1gQYsAMyChAAGEcY1gQYsAMyChAAGEcY1gQYsAMyChAAGEcY1gQYsAMyChAAGEcY1gQYsANI_R5QvQVYtB1wA3gBkAEAmAEAoAEAqgEAuAEDyAEA-AEC-AEBmAIDoAIOmAMAiAYBkAYGkgcBM6AHALIHALgHAMIHBTAuMS4yyAcJgAgB&amp;sclient=gws-wiz-serp" TargetMode="External"/><Relationship Id="rId16" Type="http://schemas.openxmlformats.org/officeDocument/2006/relationships/hyperlink" Target="https://www.google.com/search?q=EAST+VILLAGE+FARM%0989+East+4th+Street%2C+New+York%2C+New+York+10003%0D%0A&amp;sca_esv=b0cde7a46b5a0bd4&amp;rlz=1C1GCEU_enUS1211US1211&amp;sxsrf=APpeQnvq_9tYctSRQq9lC5KrB7E5z-nTWA%3A1788387304353&amp;ei=6J-Yau-XFZKrur8P5JiNyA8&amp;biw=2021&amp;bih=972&amp;ved=2ahUKEwjvq_zv9dCWAxWSle4BHWRMA_kQ4dUDegQIBhAM&amp;uact=5&amp;oq=EAST+VILLAGE+FARM%0989+East+4th+Street%2C+New+York%2C+New+York+10003%0D%0A&amp;gs_lp=Egxnd3Mtd2l6LXNlcnAiP0VBU1QgVklMTEFHRSBGQVJNCTg5IEVhc3QgNHRoIFN0cmVldCwgTmV3IFlvcmssIE5ldyBZb3JrIDEwMDAzCjIKEAAYRxjWBBiwAzIKEAAYRxjWBBiwAzIKEAAYRxjWBBiwAzIKEAAYRxjWBBiwAzIKEAAYRxjWBBiwA0ivCVCqBViqBXACeAGQAQCYAQCgAQCqAQC4AQPIAQD4AQL4AQGYAgKgAguYAwCIBgGQBgWSBwEyoAcAsgcAuAcAwgcDMi0yyAcIgAgB&amp;sclient=gws-wiz-serp" TargetMode="External"/><Relationship Id="rId19" Type="http://schemas.openxmlformats.org/officeDocument/2006/relationships/hyperlink" Target="https://www.google.com/search?gs_ssp=eJzj4tVP1zc0LLIsK4qvMEo3YLRSNaiwsEw2MrU0T7NIMTdPM0-0tDKoMEkzN7AwTTNIMjIxMrUwSfLiK8ovTs1NLKosVkhNLC4BALwDFLk&amp;q=rosemarys+east&amp;rlz=1C1GCEU_enUS1211US1211&amp;oq=ROSEMARYS+EAST&amp;gs_lcrp=EgZjaHJvbWUqDQgBEC4YrwEYxwEYgAQyCggAEAAY4wIYgAQyDQgBEC4YrwEYxwEYgAQyCQgCEAAYChiABDIJCAMQABgKGIAEMg0IBBAuGK8BGMcBGIAEMggIBRAAGBYYHjIICAYQABgWGB4yCAgHEAAYFhgeMggICBAAGBYYHjIICAkQABgWGB7SAQgxOTg4ajBqNKgCALACAA&amp;sourceid=chrome&amp;source=chrome.ob&amp;ie=UTF-8" TargetMode="External"/><Relationship Id="rId18" Type="http://schemas.openxmlformats.org/officeDocument/2006/relationships/hyperlink" Target="mailto:info.nyc@editionhotel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17.0"/>
    <col customWidth="1" min="3" max="3" width="30.0"/>
    <col customWidth="1" min="4" max="4" width="37.43"/>
    <col customWidth="1" min="5" max="5" width="17.0"/>
    <col customWidth="1" min="6" max="6" width="15.86"/>
    <col customWidth="1" min="7" max="7" width="15.0"/>
    <col customWidth="1" min="8" max="8" width="23.14"/>
    <col customWidth="1" min="9" max="9" width="34.0"/>
    <col customWidth="1" min="10" max="10" width="13.0"/>
    <col customWidth="1" min="11" max="11" width="30.0"/>
    <col customWidth="1" min="12" max="26" width="8.71"/>
  </cols>
  <sheetData>
    <row r="1" ht="24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14</v>
      </c>
    </row>
    <row r="2">
      <c r="A2" s="6">
        <v>1.0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23</v>
      </c>
      <c r="G2" s="7"/>
      <c r="H2" s="9" t="s">
        <v>25</v>
      </c>
      <c r="I2" s="11" t="s">
        <v>33</v>
      </c>
      <c r="J2" s="12"/>
      <c r="K2" s="6"/>
    </row>
    <row r="3">
      <c r="A3" s="6">
        <v>2.0</v>
      </c>
      <c r="B3" s="6" t="s">
        <v>18</v>
      </c>
      <c r="C3" s="6" t="s">
        <v>49</v>
      </c>
      <c r="D3" s="6" t="s">
        <v>50</v>
      </c>
      <c r="E3" s="6" t="s">
        <v>21</v>
      </c>
      <c r="F3" s="6" t="s">
        <v>51</v>
      </c>
      <c r="G3" s="14" t="s">
        <v>52</v>
      </c>
      <c r="H3" s="15" t="s">
        <v>53</v>
      </c>
      <c r="I3" s="6" t="s">
        <v>54</v>
      </c>
      <c r="J3" s="12"/>
      <c r="K3" s="6"/>
    </row>
    <row r="4">
      <c r="A4" s="6">
        <v>3.0</v>
      </c>
      <c r="B4" s="6" t="s">
        <v>18</v>
      </c>
      <c r="C4" s="6" t="s">
        <v>55</v>
      </c>
      <c r="D4" s="6" t="s">
        <v>56</v>
      </c>
      <c r="E4" s="6" t="s">
        <v>21</v>
      </c>
      <c r="F4" s="6" t="s">
        <v>57</v>
      </c>
      <c r="G4" s="7"/>
      <c r="H4" s="9" t="s">
        <v>58</v>
      </c>
      <c r="I4" s="6" t="s">
        <v>59</v>
      </c>
      <c r="J4" s="12"/>
      <c r="K4" s="6"/>
    </row>
    <row r="5">
      <c r="A5" s="6">
        <v>4.0</v>
      </c>
      <c r="B5" s="6" t="s">
        <v>18</v>
      </c>
      <c r="C5" s="6" t="s">
        <v>60</v>
      </c>
      <c r="D5" s="6" t="s">
        <v>61</v>
      </c>
      <c r="E5" s="6" t="s">
        <v>62</v>
      </c>
      <c r="F5" s="6" t="s">
        <v>63</v>
      </c>
      <c r="G5" s="7" t="s">
        <v>64</v>
      </c>
      <c r="H5" s="14" t="s">
        <v>65</v>
      </c>
      <c r="I5" s="6" t="s">
        <v>66</v>
      </c>
      <c r="J5" s="12"/>
      <c r="K5" s="6"/>
    </row>
    <row r="6">
      <c r="A6" s="6">
        <v>5.0</v>
      </c>
      <c r="B6" s="6" t="s">
        <v>18</v>
      </c>
      <c r="C6" s="6" t="s">
        <v>67</v>
      </c>
      <c r="D6" s="6" t="s">
        <v>68</v>
      </c>
      <c r="E6" s="6" t="s">
        <v>21</v>
      </c>
      <c r="F6" s="6" t="s">
        <v>69</v>
      </c>
      <c r="G6" s="14" t="s">
        <v>70</v>
      </c>
      <c r="H6" s="16" t="s">
        <v>72</v>
      </c>
      <c r="I6" s="6" t="s">
        <v>74</v>
      </c>
      <c r="J6" s="12"/>
      <c r="K6" s="6"/>
    </row>
    <row r="7">
      <c r="A7" s="6">
        <v>6.0</v>
      </c>
      <c r="B7" s="6" t="s">
        <v>18</v>
      </c>
      <c r="C7" s="6" t="s">
        <v>75</v>
      </c>
      <c r="D7" s="6" t="s">
        <v>76</v>
      </c>
      <c r="E7" s="6" t="s">
        <v>21</v>
      </c>
      <c r="F7" s="6" t="s">
        <v>77</v>
      </c>
      <c r="G7" s="7" t="s">
        <v>78</v>
      </c>
      <c r="H7" s="17" t="s">
        <v>79</v>
      </c>
      <c r="I7" s="6" t="s">
        <v>80</v>
      </c>
      <c r="J7" s="12"/>
      <c r="K7" s="6"/>
    </row>
    <row r="8">
      <c r="A8" s="6">
        <v>7.0</v>
      </c>
      <c r="B8" s="6" t="s">
        <v>18</v>
      </c>
      <c r="C8" s="6" t="s">
        <v>81</v>
      </c>
      <c r="D8" s="6" t="s">
        <v>82</v>
      </c>
      <c r="E8" s="6" t="s">
        <v>21</v>
      </c>
      <c r="F8" s="6" t="s">
        <v>83</v>
      </c>
      <c r="G8" s="14" t="s">
        <v>84</v>
      </c>
      <c r="H8" s="20" t="s">
        <v>86</v>
      </c>
      <c r="I8" s="6" t="s">
        <v>87</v>
      </c>
      <c r="J8" s="12"/>
      <c r="K8" s="6"/>
    </row>
    <row r="9">
      <c r="A9" s="6">
        <v>8.0</v>
      </c>
      <c r="B9" s="6" t="s">
        <v>18</v>
      </c>
      <c r="C9" s="6" t="s">
        <v>88</v>
      </c>
      <c r="D9" s="6" t="s">
        <v>89</v>
      </c>
      <c r="E9" s="6" t="s">
        <v>21</v>
      </c>
      <c r="F9" s="6" t="s">
        <v>91</v>
      </c>
      <c r="G9" s="14" t="s">
        <v>92</v>
      </c>
      <c r="H9" s="14" t="s">
        <v>93</v>
      </c>
      <c r="I9" s="6" t="s">
        <v>94</v>
      </c>
      <c r="J9" s="12"/>
      <c r="K9" s="6"/>
    </row>
    <row r="10">
      <c r="A10" s="6">
        <v>9.0</v>
      </c>
      <c r="B10" s="6" t="s">
        <v>18</v>
      </c>
      <c r="C10" s="6" t="s">
        <v>95</v>
      </c>
      <c r="D10" s="6" t="s">
        <v>96</v>
      </c>
      <c r="E10" s="6" t="s">
        <v>21</v>
      </c>
      <c r="F10" s="6" t="s">
        <v>57</v>
      </c>
      <c r="G10" s="17" t="s">
        <v>97</v>
      </c>
      <c r="H10" s="21" t="s">
        <v>98</v>
      </c>
      <c r="I10" s="6" t="s">
        <v>99</v>
      </c>
      <c r="J10" s="12"/>
      <c r="K10" s="6"/>
    </row>
    <row r="11">
      <c r="A11" s="6">
        <v>10.0</v>
      </c>
      <c r="B11" s="6" t="s">
        <v>18</v>
      </c>
      <c r="C11" s="6" t="s">
        <v>100</v>
      </c>
      <c r="D11" s="6" t="s">
        <v>101</v>
      </c>
      <c r="E11" s="6" t="s">
        <v>21</v>
      </c>
      <c r="F11" s="6" t="s">
        <v>102</v>
      </c>
      <c r="G11" s="14" t="s">
        <v>103</v>
      </c>
      <c r="H11" s="17"/>
      <c r="I11" s="12"/>
      <c r="J11" s="12"/>
      <c r="K11" s="6"/>
    </row>
    <row r="12">
      <c r="A12" s="6">
        <v>11.0</v>
      </c>
      <c r="B12" s="6" t="s">
        <v>18</v>
      </c>
      <c r="C12" s="6" t="s">
        <v>104</v>
      </c>
      <c r="D12" s="6" t="s">
        <v>105</v>
      </c>
      <c r="E12" s="6" t="s">
        <v>21</v>
      </c>
      <c r="F12" s="6" t="s">
        <v>106</v>
      </c>
      <c r="G12" s="14" t="s">
        <v>107</v>
      </c>
      <c r="H12" s="20" t="s">
        <v>108</v>
      </c>
      <c r="I12" s="6" t="s">
        <v>109</v>
      </c>
      <c r="J12" s="12"/>
      <c r="K12" s="6"/>
    </row>
    <row r="13">
      <c r="A13" s="6">
        <v>12.0</v>
      </c>
      <c r="B13" s="6" t="s">
        <v>18</v>
      </c>
      <c r="C13" s="6" t="s">
        <v>110</v>
      </c>
      <c r="D13" s="6" t="s">
        <v>111</v>
      </c>
      <c r="E13" s="6" t="s">
        <v>21</v>
      </c>
      <c r="F13" s="6" t="s">
        <v>112</v>
      </c>
      <c r="G13" s="14" t="s">
        <v>113</v>
      </c>
      <c r="H13" s="17" t="s">
        <v>114</v>
      </c>
      <c r="I13" s="12" t="s">
        <v>115</v>
      </c>
      <c r="J13" s="12"/>
      <c r="K13" s="6"/>
    </row>
    <row r="14">
      <c r="A14" s="6">
        <v>13.0</v>
      </c>
      <c r="B14" s="6" t="s">
        <v>18</v>
      </c>
      <c r="C14" s="6" t="s">
        <v>116</v>
      </c>
      <c r="D14" s="6" t="s">
        <v>117</v>
      </c>
      <c r="E14" s="6" t="s">
        <v>37</v>
      </c>
      <c r="F14" s="6" t="s">
        <v>118</v>
      </c>
      <c r="G14" s="7" t="s">
        <v>119</v>
      </c>
      <c r="H14" s="22" t="s">
        <v>120</v>
      </c>
      <c r="I14" s="6" t="s">
        <v>121</v>
      </c>
      <c r="J14" s="12"/>
      <c r="K14" s="6"/>
    </row>
    <row r="15">
      <c r="A15" s="6">
        <v>14.0</v>
      </c>
      <c r="B15" s="6" t="s">
        <v>18</v>
      </c>
      <c r="C15" s="6" t="s">
        <v>122</v>
      </c>
      <c r="D15" s="6" t="s">
        <v>123</v>
      </c>
      <c r="E15" s="6" t="s">
        <v>21</v>
      </c>
      <c r="F15" s="6" t="s">
        <v>69</v>
      </c>
      <c r="G15" s="14" t="s">
        <v>124</v>
      </c>
      <c r="H15" s="23"/>
      <c r="I15" s="12" t="s">
        <v>125</v>
      </c>
      <c r="J15" s="12"/>
      <c r="K15" s="6"/>
    </row>
    <row r="16">
      <c r="A16" s="6">
        <v>15.0</v>
      </c>
      <c r="B16" s="6" t="s">
        <v>18</v>
      </c>
      <c r="C16" s="6" t="s">
        <v>126</v>
      </c>
      <c r="D16" s="6" t="s">
        <v>127</v>
      </c>
      <c r="E16" s="6" t="s">
        <v>62</v>
      </c>
      <c r="F16" s="6" t="s">
        <v>51</v>
      </c>
      <c r="G16" s="24" t="s">
        <v>128</v>
      </c>
      <c r="H16" s="24" t="s">
        <v>129</v>
      </c>
      <c r="I16" s="12" t="s">
        <v>130</v>
      </c>
      <c r="J16" s="12"/>
      <c r="K16" s="6"/>
    </row>
    <row r="17">
      <c r="A17" s="6">
        <v>16.0</v>
      </c>
      <c r="B17" s="6" t="s">
        <v>18</v>
      </c>
      <c r="C17" s="6" t="s">
        <v>131</v>
      </c>
      <c r="D17" s="6" t="s">
        <v>132</v>
      </c>
      <c r="E17" s="6" t="s">
        <v>21</v>
      </c>
      <c r="F17" s="6" t="s">
        <v>77</v>
      </c>
      <c r="G17" s="14" t="s">
        <v>133</v>
      </c>
      <c r="H17" s="20" t="s">
        <v>79</v>
      </c>
      <c r="I17" s="12" t="s">
        <v>134</v>
      </c>
      <c r="J17" s="12"/>
      <c r="K17" s="6"/>
    </row>
    <row r="18">
      <c r="A18" s="6">
        <v>17.0</v>
      </c>
      <c r="B18" s="6" t="s">
        <v>18</v>
      </c>
      <c r="C18" s="6" t="s">
        <v>135</v>
      </c>
      <c r="D18" s="6" t="s">
        <v>136</v>
      </c>
      <c r="E18" s="6" t="s">
        <v>21</v>
      </c>
      <c r="F18" s="6" t="s">
        <v>51</v>
      </c>
      <c r="G18" s="25" t="s">
        <v>137</v>
      </c>
      <c r="H18" s="14" t="s">
        <v>138</v>
      </c>
      <c r="I18" s="12"/>
      <c r="J18" s="12"/>
      <c r="K18" s="6"/>
    </row>
    <row r="19">
      <c r="A19" s="6">
        <v>18.0</v>
      </c>
      <c r="B19" s="6" t="s">
        <v>18</v>
      </c>
      <c r="C19" s="6" t="s">
        <v>139</v>
      </c>
      <c r="D19" s="6" t="s">
        <v>140</v>
      </c>
      <c r="E19" s="6" t="s">
        <v>37</v>
      </c>
      <c r="F19" s="6" t="s">
        <v>141</v>
      </c>
      <c r="G19" s="23"/>
      <c r="H19" s="14" t="s">
        <v>142</v>
      </c>
      <c r="I19" s="12" t="s">
        <v>143</v>
      </c>
      <c r="J19" s="12"/>
      <c r="K19" s="6"/>
    </row>
    <row r="20">
      <c r="A20" s="6">
        <v>19.0</v>
      </c>
      <c r="B20" s="6" t="s">
        <v>18</v>
      </c>
      <c r="C20" s="6" t="s">
        <v>144</v>
      </c>
      <c r="D20" s="6" t="s">
        <v>145</v>
      </c>
      <c r="E20" s="6" t="s">
        <v>21</v>
      </c>
      <c r="F20" s="6" t="s">
        <v>146</v>
      </c>
      <c r="G20" s="23" t="s">
        <v>147</v>
      </c>
      <c r="H20" s="23" t="s">
        <v>147</v>
      </c>
      <c r="I20" s="12"/>
      <c r="J20" s="12"/>
      <c r="K20" s="6"/>
    </row>
    <row r="21" ht="15.75" customHeight="1">
      <c r="A21" s="6">
        <v>20.0</v>
      </c>
      <c r="B21" s="6" t="s">
        <v>18</v>
      </c>
      <c r="C21" s="6" t="s">
        <v>148</v>
      </c>
      <c r="D21" s="6" t="s">
        <v>149</v>
      </c>
      <c r="E21" s="6" t="s">
        <v>21</v>
      </c>
      <c r="F21" s="6" t="s">
        <v>150</v>
      </c>
      <c r="G21" s="14" t="s">
        <v>151</v>
      </c>
      <c r="H21" s="20" t="s">
        <v>152</v>
      </c>
      <c r="I21" s="6" t="s">
        <v>153</v>
      </c>
      <c r="J21" s="12"/>
      <c r="K21" s="6"/>
    </row>
    <row r="22" ht="15.75" customHeight="1">
      <c r="A22" s="6">
        <v>21.0</v>
      </c>
      <c r="B22" s="6" t="s">
        <v>18</v>
      </c>
      <c r="C22" s="6" t="s">
        <v>154</v>
      </c>
      <c r="D22" s="6" t="s">
        <v>155</v>
      </c>
      <c r="E22" s="6" t="s">
        <v>37</v>
      </c>
      <c r="F22" s="6" t="s">
        <v>156</v>
      </c>
      <c r="G22" s="14" t="s">
        <v>157</v>
      </c>
      <c r="H22" s="26" t="s">
        <v>158</v>
      </c>
      <c r="I22" s="6" t="s">
        <v>159</v>
      </c>
      <c r="J22" s="12"/>
      <c r="K22" s="6" t="s">
        <v>160</v>
      </c>
    </row>
    <row r="23" ht="15.75" customHeight="1">
      <c r="A23" s="6">
        <v>22.0</v>
      </c>
      <c r="B23" s="6" t="s">
        <v>18</v>
      </c>
      <c r="C23" s="6" t="s">
        <v>161</v>
      </c>
      <c r="D23" s="6" t="s">
        <v>162</v>
      </c>
      <c r="E23" s="6" t="s">
        <v>21</v>
      </c>
      <c r="F23" s="6" t="s">
        <v>83</v>
      </c>
      <c r="G23" s="7" t="s">
        <v>163</v>
      </c>
      <c r="H23" s="13" t="s">
        <v>164</v>
      </c>
      <c r="I23" s="6" t="s">
        <v>165</v>
      </c>
      <c r="J23" s="12"/>
      <c r="K23" s="6"/>
    </row>
    <row r="24" ht="15.75" customHeight="1">
      <c r="A24" s="6">
        <v>23.0</v>
      </c>
      <c r="B24" s="6" t="s">
        <v>18</v>
      </c>
      <c r="C24" s="6" t="s">
        <v>166</v>
      </c>
      <c r="D24" s="6" t="s">
        <v>167</v>
      </c>
      <c r="E24" s="6" t="s">
        <v>21</v>
      </c>
      <c r="F24" s="6" t="s">
        <v>69</v>
      </c>
      <c r="G24" s="23" t="s">
        <v>168</v>
      </c>
      <c r="H24" s="20" t="s">
        <v>169</v>
      </c>
      <c r="I24" s="12" t="s">
        <v>170</v>
      </c>
      <c r="J24" s="12"/>
      <c r="K24" s="6"/>
    </row>
    <row r="25" ht="15.75" customHeight="1">
      <c r="A25" s="6">
        <v>24.0</v>
      </c>
      <c r="B25" s="6" t="s">
        <v>18</v>
      </c>
      <c r="C25" s="6" t="s">
        <v>171</v>
      </c>
      <c r="D25" s="6" t="s">
        <v>172</v>
      </c>
      <c r="E25" s="6" t="s">
        <v>37</v>
      </c>
      <c r="F25" s="6" t="s">
        <v>63</v>
      </c>
      <c r="G25" s="7" t="s">
        <v>173</v>
      </c>
      <c r="H25" s="23" t="s">
        <v>174</v>
      </c>
      <c r="I25" s="6" t="s">
        <v>175</v>
      </c>
      <c r="J25" s="12"/>
      <c r="K25" s="6"/>
    </row>
    <row r="26" ht="15.75" customHeight="1">
      <c r="A26" s="6">
        <v>25.0</v>
      </c>
      <c r="B26" s="6" t="s">
        <v>18</v>
      </c>
      <c r="C26" s="6" t="s">
        <v>176</v>
      </c>
      <c r="D26" s="6" t="s">
        <v>177</v>
      </c>
      <c r="E26" s="6" t="s">
        <v>37</v>
      </c>
      <c r="F26" s="6" t="s">
        <v>178</v>
      </c>
      <c r="G26" s="14" t="s">
        <v>179</v>
      </c>
      <c r="H26" s="23"/>
      <c r="I26" s="12" t="s">
        <v>180</v>
      </c>
      <c r="J26" s="12"/>
      <c r="K26" s="6"/>
    </row>
    <row r="27" ht="15.75" customHeight="1">
      <c r="A27" s="6">
        <v>26.0</v>
      </c>
      <c r="B27" s="6" t="s">
        <v>18</v>
      </c>
      <c r="C27" s="6" t="s">
        <v>181</v>
      </c>
      <c r="D27" s="6" t="s">
        <v>182</v>
      </c>
      <c r="E27" s="6" t="s">
        <v>21</v>
      </c>
      <c r="F27" s="6" t="s">
        <v>141</v>
      </c>
      <c r="G27" s="23" t="s">
        <v>168</v>
      </c>
      <c r="H27" s="27" t="s">
        <v>183</v>
      </c>
      <c r="I27" s="12" t="s">
        <v>184</v>
      </c>
      <c r="J27" s="12"/>
      <c r="K27" s="6"/>
    </row>
    <row r="28" ht="15.75" customHeight="1">
      <c r="A28" s="6">
        <v>27.0</v>
      </c>
      <c r="B28" s="6" t="s">
        <v>18</v>
      </c>
      <c r="C28" s="6" t="s">
        <v>185</v>
      </c>
      <c r="D28" s="6" t="s">
        <v>186</v>
      </c>
      <c r="E28" s="6" t="s">
        <v>21</v>
      </c>
      <c r="F28" s="6" t="s">
        <v>187</v>
      </c>
      <c r="G28" s="7" t="s">
        <v>188</v>
      </c>
      <c r="H28" s="23" t="s">
        <v>189</v>
      </c>
      <c r="I28" s="6" t="s">
        <v>190</v>
      </c>
      <c r="J28" s="12"/>
      <c r="K28" s="6"/>
    </row>
    <row r="29" ht="15.75" customHeight="1">
      <c r="A29" s="6"/>
      <c r="B29" s="6"/>
      <c r="C29" s="6" t="s">
        <v>191</v>
      </c>
      <c r="D29" s="15" t="s">
        <v>192</v>
      </c>
      <c r="E29" s="6" t="s">
        <v>62</v>
      </c>
      <c r="F29" s="6" t="s">
        <v>23</v>
      </c>
      <c r="G29" s="7" t="s">
        <v>168</v>
      </c>
      <c r="H29" s="23" t="s">
        <v>193</v>
      </c>
      <c r="I29" s="6" t="s">
        <v>194</v>
      </c>
      <c r="J29" s="12"/>
      <c r="K29" s="6"/>
    </row>
    <row r="30" ht="15.75" customHeight="1">
      <c r="A30" s="6">
        <v>28.0</v>
      </c>
      <c r="B30" s="6" t="s">
        <v>18</v>
      </c>
      <c r="C30" s="6" t="s">
        <v>195</v>
      </c>
      <c r="D30" s="6" t="s">
        <v>196</v>
      </c>
      <c r="E30" s="6" t="s">
        <v>62</v>
      </c>
      <c r="F30" s="6" t="s">
        <v>23</v>
      </c>
      <c r="G30" s="23" t="s">
        <v>168</v>
      </c>
      <c r="H30" s="23" t="s">
        <v>193</v>
      </c>
      <c r="I30" s="12" t="s">
        <v>194</v>
      </c>
      <c r="J30" s="12"/>
      <c r="K30" s="6"/>
    </row>
    <row r="31" ht="15.75" customHeight="1">
      <c r="A31" s="6">
        <v>29.0</v>
      </c>
      <c r="B31" s="6" t="s">
        <v>18</v>
      </c>
      <c r="C31" s="6" t="s">
        <v>197</v>
      </c>
      <c r="D31" s="6" t="s">
        <v>198</v>
      </c>
      <c r="E31" s="6" t="s">
        <v>199</v>
      </c>
      <c r="F31" s="6" t="s">
        <v>187</v>
      </c>
      <c r="G31" s="7" t="s">
        <v>200</v>
      </c>
      <c r="H31" s="22" t="s">
        <v>201</v>
      </c>
      <c r="I31" s="28" t="s">
        <v>202</v>
      </c>
      <c r="J31" s="12"/>
      <c r="K31" s="6"/>
    </row>
    <row r="32" ht="15.75" customHeight="1">
      <c r="A32" s="6">
        <v>30.0</v>
      </c>
      <c r="B32" s="6" t="s">
        <v>18</v>
      </c>
      <c r="C32" s="6" t="s">
        <v>203</v>
      </c>
      <c r="D32" s="6" t="s">
        <v>204</v>
      </c>
      <c r="E32" s="6" t="s">
        <v>21</v>
      </c>
      <c r="F32" s="6" t="s">
        <v>106</v>
      </c>
      <c r="G32" s="25" t="s">
        <v>205</v>
      </c>
      <c r="H32" s="14" t="s">
        <v>206</v>
      </c>
      <c r="I32" s="12" t="s">
        <v>207</v>
      </c>
      <c r="J32" s="12"/>
      <c r="K32" s="6"/>
    </row>
    <row r="33" ht="15.75" customHeight="1">
      <c r="A33" s="6">
        <v>31.0</v>
      </c>
      <c r="B33" s="6" t="s">
        <v>18</v>
      </c>
      <c r="C33" s="6" t="s">
        <v>208</v>
      </c>
      <c r="D33" s="6" t="s">
        <v>209</v>
      </c>
      <c r="E33" s="6" t="s">
        <v>21</v>
      </c>
      <c r="F33" s="6" t="s">
        <v>118</v>
      </c>
      <c r="G33" s="14" t="s">
        <v>210</v>
      </c>
      <c r="H33" s="23" t="s">
        <v>211</v>
      </c>
      <c r="I33" s="12" t="s">
        <v>212</v>
      </c>
      <c r="J33" s="12"/>
      <c r="K33" s="6"/>
    </row>
    <row r="34" ht="15.75" customHeight="1">
      <c r="A34" s="6">
        <v>32.0</v>
      </c>
      <c r="B34" s="6" t="s">
        <v>18</v>
      </c>
      <c r="C34" s="6" t="s">
        <v>213</v>
      </c>
      <c r="D34" s="6" t="s">
        <v>214</v>
      </c>
      <c r="E34" s="6" t="s">
        <v>21</v>
      </c>
      <c r="F34" s="6" t="s">
        <v>102</v>
      </c>
      <c r="G34" s="14" t="s">
        <v>215</v>
      </c>
      <c r="H34" s="23" t="s">
        <v>168</v>
      </c>
      <c r="I34" s="12" t="s">
        <v>216</v>
      </c>
      <c r="J34" s="12"/>
      <c r="K34" s="6"/>
    </row>
    <row r="35" ht="15.75" customHeight="1">
      <c r="A35" s="6">
        <v>33.0</v>
      </c>
      <c r="B35" s="6" t="s">
        <v>18</v>
      </c>
      <c r="C35" s="6" t="s">
        <v>217</v>
      </c>
      <c r="D35" s="6" t="s">
        <v>218</v>
      </c>
      <c r="E35" s="6" t="s">
        <v>21</v>
      </c>
      <c r="F35" s="6" t="s">
        <v>219</v>
      </c>
      <c r="G35" s="14" t="s">
        <v>220</v>
      </c>
      <c r="H35" s="22" t="s">
        <v>221</v>
      </c>
      <c r="I35" s="6" t="s">
        <v>222</v>
      </c>
      <c r="J35" s="12"/>
      <c r="K35" s="6"/>
    </row>
    <row r="36" ht="15.75" customHeight="1">
      <c r="A36" s="6">
        <v>34.0</v>
      </c>
      <c r="B36" s="6" t="s">
        <v>18</v>
      </c>
      <c r="C36" s="6" t="s">
        <v>223</v>
      </c>
      <c r="D36" s="6" t="s">
        <v>224</v>
      </c>
      <c r="E36" s="6" t="s">
        <v>21</v>
      </c>
      <c r="F36" s="6" t="s">
        <v>63</v>
      </c>
      <c r="G36" s="7" t="s">
        <v>225</v>
      </c>
      <c r="H36" s="20" t="s">
        <v>226</v>
      </c>
      <c r="I36" s="6" t="s">
        <v>227</v>
      </c>
      <c r="J36" s="12"/>
      <c r="K36" s="6"/>
    </row>
    <row r="37" ht="15.75" customHeight="1">
      <c r="A37" s="6">
        <v>35.0</v>
      </c>
      <c r="B37" s="6" t="s">
        <v>18</v>
      </c>
      <c r="C37" s="6" t="s">
        <v>228</v>
      </c>
      <c r="D37" s="6" t="s">
        <v>229</v>
      </c>
      <c r="E37" s="6" t="s">
        <v>37</v>
      </c>
      <c r="F37" s="6" t="s">
        <v>230</v>
      </c>
      <c r="G37" s="29" t="s">
        <v>231</v>
      </c>
      <c r="H37" s="23" t="s">
        <v>168</v>
      </c>
      <c r="I37" s="12" t="s">
        <v>232</v>
      </c>
      <c r="J37" s="12"/>
      <c r="K37" s="6"/>
    </row>
    <row r="38" ht="15.75" customHeight="1">
      <c r="A38" s="6">
        <v>36.0</v>
      </c>
      <c r="B38" s="6" t="s">
        <v>18</v>
      </c>
      <c r="C38" s="6" t="s">
        <v>233</v>
      </c>
      <c r="D38" s="6" t="s">
        <v>234</v>
      </c>
      <c r="E38" s="6" t="s">
        <v>21</v>
      </c>
      <c r="F38" s="6" t="s">
        <v>106</v>
      </c>
      <c r="G38" s="14" t="s">
        <v>235</v>
      </c>
      <c r="H38" s="23" t="s">
        <v>168</v>
      </c>
      <c r="I38" s="12" t="s">
        <v>236</v>
      </c>
      <c r="J38" s="12"/>
      <c r="K38" s="6"/>
    </row>
    <row r="39" ht="15.75" customHeight="1">
      <c r="A39" s="6">
        <v>37.0</v>
      </c>
      <c r="B39" s="6" t="s">
        <v>18</v>
      </c>
      <c r="C39" s="6" t="s">
        <v>237</v>
      </c>
      <c r="D39" s="6" t="s">
        <v>238</v>
      </c>
      <c r="E39" s="6" t="s">
        <v>21</v>
      </c>
      <c r="F39" s="6" t="s">
        <v>118</v>
      </c>
      <c r="G39" s="23"/>
      <c r="H39" s="15" t="s">
        <v>239</v>
      </c>
      <c r="I39" s="12" t="s">
        <v>240</v>
      </c>
      <c r="J39" s="12"/>
      <c r="K39" s="6"/>
    </row>
    <row r="40" ht="15.75" customHeight="1">
      <c r="A40" s="6">
        <v>38.0</v>
      </c>
      <c r="B40" s="6" t="s">
        <v>18</v>
      </c>
      <c r="C40" s="6" t="s">
        <v>241</v>
      </c>
      <c r="D40" s="6" t="s">
        <v>242</v>
      </c>
      <c r="E40" s="6" t="s">
        <v>37</v>
      </c>
      <c r="F40" s="6" t="s">
        <v>243</v>
      </c>
      <c r="G40" s="7" t="s">
        <v>244</v>
      </c>
      <c r="H40" s="23" t="s">
        <v>245</v>
      </c>
      <c r="I40" s="6" t="s">
        <v>246</v>
      </c>
      <c r="J40" s="12"/>
      <c r="K40" s="6"/>
    </row>
    <row r="41" ht="15.75" customHeight="1">
      <c r="A41" s="6">
        <v>39.0</v>
      </c>
      <c r="B41" s="6" t="s">
        <v>18</v>
      </c>
      <c r="C41" s="6" t="s">
        <v>247</v>
      </c>
      <c r="D41" s="6" t="s">
        <v>248</v>
      </c>
      <c r="E41" s="6" t="s">
        <v>249</v>
      </c>
      <c r="F41" s="6" t="s">
        <v>51</v>
      </c>
      <c r="G41" s="7" t="s">
        <v>250</v>
      </c>
      <c r="H41" s="20" t="s">
        <v>251</v>
      </c>
      <c r="I41" s="12" t="s">
        <v>252</v>
      </c>
      <c r="J41" s="12"/>
      <c r="K41" s="6"/>
    </row>
    <row r="42" ht="15.75" customHeight="1">
      <c r="A42" s="6">
        <v>40.0</v>
      </c>
      <c r="B42" s="6" t="s">
        <v>18</v>
      </c>
      <c r="C42" s="6" t="s">
        <v>253</v>
      </c>
      <c r="D42" s="6" t="s">
        <v>254</v>
      </c>
      <c r="E42" s="6" t="s">
        <v>21</v>
      </c>
      <c r="F42" s="6" t="s">
        <v>255</v>
      </c>
      <c r="G42" s="14" t="s">
        <v>256</v>
      </c>
      <c r="H42" s="23" t="s">
        <v>257</v>
      </c>
      <c r="I42" s="17" t="s">
        <v>258</v>
      </c>
      <c r="J42" s="12"/>
      <c r="K42" s="6"/>
    </row>
    <row r="43" ht="15.75" customHeight="1">
      <c r="A43" s="6">
        <v>41.0</v>
      </c>
      <c r="B43" s="6" t="s">
        <v>18</v>
      </c>
      <c r="C43" s="6" t="s">
        <v>259</v>
      </c>
      <c r="D43" s="6" t="s">
        <v>260</v>
      </c>
      <c r="E43" s="6" t="s">
        <v>21</v>
      </c>
      <c r="F43" s="6" t="s">
        <v>261</v>
      </c>
      <c r="G43" s="7" t="s">
        <v>262</v>
      </c>
      <c r="H43" s="23" t="s">
        <v>263</v>
      </c>
      <c r="I43" s="6" t="s">
        <v>264</v>
      </c>
      <c r="J43" s="12"/>
      <c r="K43" s="6"/>
    </row>
    <row r="44" ht="15.75" customHeight="1">
      <c r="A44" s="6">
        <v>42.0</v>
      </c>
      <c r="B44" s="6" t="s">
        <v>18</v>
      </c>
      <c r="C44" s="6" t="s">
        <v>265</v>
      </c>
      <c r="D44" s="6" t="s">
        <v>266</v>
      </c>
      <c r="E44" s="6" t="s">
        <v>21</v>
      </c>
      <c r="F44" s="6" t="s">
        <v>267</v>
      </c>
      <c r="G44" s="23" t="s">
        <v>168</v>
      </c>
      <c r="H44" s="17" t="s">
        <v>268</v>
      </c>
      <c r="I44" s="12" t="s">
        <v>269</v>
      </c>
      <c r="J44" s="12"/>
      <c r="K44" s="6"/>
    </row>
    <row r="45" ht="15.75" customHeight="1">
      <c r="A45" s="6">
        <v>43.0</v>
      </c>
      <c r="B45" s="6" t="s">
        <v>18</v>
      </c>
      <c r="C45" s="6" t="s">
        <v>270</v>
      </c>
      <c r="D45" s="6" t="s">
        <v>271</v>
      </c>
      <c r="E45" s="6" t="s">
        <v>37</v>
      </c>
      <c r="F45" s="6" t="s">
        <v>272</v>
      </c>
      <c r="G45" s="25" t="s">
        <v>273</v>
      </c>
      <c r="H45" s="30" t="s">
        <v>274</v>
      </c>
      <c r="I45" s="12" t="s">
        <v>275</v>
      </c>
      <c r="J45" s="12" t="s">
        <v>276</v>
      </c>
      <c r="K45" s="6"/>
    </row>
    <row r="46" ht="15.75" customHeight="1">
      <c r="A46" s="6"/>
      <c r="B46" s="6" t="s">
        <v>18</v>
      </c>
      <c r="C46" s="6" t="s">
        <v>277</v>
      </c>
      <c r="D46" s="31" t="s">
        <v>278</v>
      </c>
      <c r="E46" s="6" t="s">
        <v>37</v>
      </c>
      <c r="F46" s="6" t="s">
        <v>230</v>
      </c>
      <c r="G46" s="32" t="s">
        <v>279</v>
      </c>
      <c r="H46" s="23" t="s">
        <v>280</v>
      </c>
      <c r="I46" s="6" t="s">
        <v>281</v>
      </c>
      <c r="J46" s="12"/>
      <c r="K46" s="6"/>
    </row>
    <row r="47" ht="15.75" customHeight="1">
      <c r="A47" s="6">
        <v>44.0</v>
      </c>
      <c r="B47" s="6" t="s">
        <v>18</v>
      </c>
      <c r="C47" s="6" t="s">
        <v>282</v>
      </c>
      <c r="D47" s="6" t="s">
        <v>283</v>
      </c>
      <c r="E47" s="6" t="s">
        <v>37</v>
      </c>
      <c r="F47" s="6" t="s">
        <v>230</v>
      </c>
      <c r="G47" s="7" t="s">
        <v>284</v>
      </c>
      <c r="H47" s="23" t="s">
        <v>280</v>
      </c>
      <c r="I47" s="6" t="s">
        <v>281</v>
      </c>
      <c r="J47" s="12"/>
      <c r="K47" s="6"/>
    </row>
    <row r="48" ht="15.75" customHeight="1">
      <c r="A48" s="6">
        <v>45.0</v>
      </c>
      <c r="B48" s="6" t="s">
        <v>18</v>
      </c>
      <c r="C48" s="6" t="s">
        <v>285</v>
      </c>
      <c r="D48" s="6" t="s">
        <v>286</v>
      </c>
      <c r="E48" s="6" t="s">
        <v>37</v>
      </c>
      <c r="F48" s="6" t="s">
        <v>77</v>
      </c>
      <c r="G48" s="7" t="s">
        <v>287</v>
      </c>
      <c r="H48" s="23" t="s">
        <v>288</v>
      </c>
      <c r="I48" s="6" t="s">
        <v>289</v>
      </c>
      <c r="J48" s="12"/>
      <c r="K48" s="6"/>
    </row>
    <row r="49" ht="15.75" customHeight="1">
      <c r="A49" s="6">
        <v>46.0</v>
      </c>
      <c r="B49" s="6" t="s">
        <v>18</v>
      </c>
      <c r="C49" s="6" t="s">
        <v>290</v>
      </c>
      <c r="D49" s="6" t="s">
        <v>291</v>
      </c>
      <c r="E49" s="6" t="s">
        <v>21</v>
      </c>
      <c r="F49" s="6" t="s">
        <v>51</v>
      </c>
      <c r="G49" s="7" t="s">
        <v>292</v>
      </c>
      <c r="H49" s="23" t="s">
        <v>293</v>
      </c>
      <c r="I49" s="6" t="s">
        <v>294</v>
      </c>
      <c r="J49" s="12"/>
      <c r="K49" s="6"/>
    </row>
    <row r="50" ht="15.75" customHeight="1">
      <c r="A50" s="6">
        <v>47.0</v>
      </c>
      <c r="B50" s="6" t="s">
        <v>18</v>
      </c>
      <c r="C50" s="6" t="s">
        <v>295</v>
      </c>
      <c r="D50" s="6" t="s">
        <v>296</v>
      </c>
      <c r="E50" s="6" t="s">
        <v>62</v>
      </c>
      <c r="F50" s="6" t="s">
        <v>51</v>
      </c>
      <c r="G50" s="7" t="s">
        <v>297</v>
      </c>
      <c r="H50" s="23" t="s">
        <v>298</v>
      </c>
      <c r="I50" s="6" t="s">
        <v>299</v>
      </c>
      <c r="J50" s="12" t="s">
        <v>300</v>
      </c>
      <c r="K50" s="6"/>
    </row>
    <row r="51" ht="15.75" customHeight="1">
      <c r="A51" s="6">
        <v>48.0</v>
      </c>
      <c r="B51" s="6" t="s">
        <v>18</v>
      </c>
      <c r="C51" s="6" t="s">
        <v>301</v>
      </c>
      <c r="D51" s="6" t="s">
        <v>302</v>
      </c>
      <c r="E51" s="6" t="s">
        <v>21</v>
      </c>
      <c r="F51" s="6" t="s">
        <v>303</v>
      </c>
      <c r="G51" s="7" t="s">
        <v>304</v>
      </c>
      <c r="H51" s="14" t="s">
        <v>305</v>
      </c>
      <c r="I51" s="6" t="s">
        <v>306</v>
      </c>
      <c r="J51" s="12"/>
      <c r="K51" s="6"/>
    </row>
    <row r="52" ht="15.75" customHeight="1">
      <c r="A52" s="6"/>
      <c r="B52" s="6" t="s">
        <v>18</v>
      </c>
      <c r="C52" s="6" t="s">
        <v>307</v>
      </c>
      <c r="D52" s="6" t="s">
        <v>308</v>
      </c>
      <c r="E52" s="6" t="s">
        <v>21</v>
      </c>
      <c r="F52" s="6" t="s">
        <v>309</v>
      </c>
      <c r="G52" s="7" t="s">
        <v>310</v>
      </c>
      <c r="H52" s="23" t="s">
        <v>311</v>
      </c>
      <c r="I52" s="6" t="s">
        <v>312</v>
      </c>
      <c r="J52" s="12"/>
      <c r="K52" s="6"/>
    </row>
    <row r="53" ht="15.75" customHeight="1">
      <c r="A53" s="6">
        <v>49.0</v>
      </c>
      <c r="B53" s="6" t="s">
        <v>18</v>
      </c>
      <c r="C53" s="6" t="s">
        <v>313</v>
      </c>
      <c r="D53" s="6" t="s">
        <v>314</v>
      </c>
      <c r="E53" s="6" t="s">
        <v>21</v>
      </c>
      <c r="F53" s="6" t="s">
        <v>309</v>
      </c>
      <c r="G53" s="14" t="s">
        <v>315</v>
      </c>
      <c r="H53" s="14" t="s">
        <v>316</v>
      </c>
      <c r="I53" s="6" t="s">
        <v>312</v>
      </c>
      <c r="J53" s="12"/>
      <c r="K53" s="6"/>
    </row>
    <row r="54" ht="15.75" customHeight="1">
      <c r="A54" s="6">
        <v>50.0</v>
      </c>
      <c r="B54" s="6" t="s">
        <v>18</v>
      </c>
      <c r="C54" s="6" t="s">
        <v>317</v>
      </c>
      <c r="D54" s="6" t="s">
        <v>318</v>
      </c>
      <c r="E54" s="6" t="s">
        <v>319</v>
      </c>
      <c r="F54" s="6" t="s">
        <v>69</v>
      </c>
      <c r="G54" s="7" t="s">
        <v>320</v>
      </c>
      <c r="H54" s="33" t="s">
        <v>321</v>
      </c>
      <c r="I54" s="12" t="s">
        <v>322</v>
      </c>
      <c r="J54" s="12"/>
      <c r="K54" s="6"/>
    </row>
    <row r="55" ht="15.75" customHeight="1">
      <c r="A55" s="6">
        <v>51.0</v>
      </c>
      <c r="B55" s="6" t="s">
        <v>18</v>
      </c>
      <c r="C55" s="6" t="s">
        <v>323</v>
      </c>
      <c r="D55" s="6" t="s">
        <v>324</v>
      </c>
      <c r="E55" s="6" t="s">
        <v>37</v>
      </c>
      <c r="F55" s="6" t="s">
        <v>141</v>
      </c>
      <c r="G55" s="23" t="s">
        <v>147</v>
      </c>
      <c r="H55" s="23" t="s">
        <v>147</v>
      </c>
      <c r="I55" s="12"/>
      <c r="J55" s="12"/>
      <c r="K55" s="6"/>
    </row>
    <row r="56" ht="15.75" customHeight="1">
      <c r="A56" s="6">
        <v>52.0</v>
      </c>
      <c r="B56" s="6" t="s">
        <v>18</v>
      </c>
      <c r="C56" s="6" t="s">
        <v>325</v>
      </c>
      <c r="D56" s="6" t="s">
        <v>326</v>
      </c>
      <c r="E56" s="6" t="s">
        <v>62</v>
      </c>
      <c r="F56" s="6" t="s">
        <v>219</v>
      </c>
      <c r="G56" s="25" t="s">
        <v>327</v>
      </c>
      <c r="H56" s="14" t="s">
        <v>328</v>
      </c>
      <c r="I56" s="12" t="s">
        <v>329</v>
      </c>
      <c r="J56" s="12"/>
      <c r="K56" s="6"/>
    </row>
    <row r="57" ht="15.75" customHeight="1">
      <c r="A57" s="6">
        <v>53.0</v>
      </c>
      <c r="B57" s="6" t="s">
        <v>18</v>
      </c>
      <c r="C57" s="6" t="s">
        <v>330</v>
      </c>
      <c r="D57" s="6" t="s">
        <v>331</v>
      </c>
      <c r="E57" s="6" t="s">
        <v>332</v>
      </c>
      <c r="F57" s="6" t="s">
        <v>333</v>
      </c>
      <c r="G57" s="7" t="s">
        <v>334</v>
      </c>
      <c r="H57" s="17" t="s">
        <v>335</v>
      </c>
      <c r="I57" s="6" t="s">
        <v>336</v>
      </c>
      <c r="J57" s="12"/>
      <c r="K57" s="6"/>
    </row>
    <row r="58" ht="15.75" customHeight="1">
      <c r="A58" s="6">
        <v>54.0</v>
      </c>
      <c r="B58" s="6" t="s">
        <v>18</v>
      </c>
      <c r="C58" s="6" t="s">
        <v>337</v>
      </c>
      <c r="D58" s="6" t="s">
        <v>338</v>
      </c>
      <c r="E58" s="6" t="s">
        <v>21</v>
      </c>
      <c r="F58" s="6" t="s">
        <v>333</v>
      </c>
      <c r="G58" s="14" t="s">
        <v>339</v>
      </c>
      <c r="H58" s="24" t="s">
        <v>340</v>
      </c>
      <c r="I58" s="12" t="s">
        <v>341</v>
      </c>
      <c r="J58" s="12"/>
      <c r="K58" s="6"/>
    </row>
    <row r="59" ht="15.75" customHeight="1">
      <c r="A59" s="6">
        <v>55.0</v>
      </c>
      <c r="B59" s="6" t="s">
        <v>18</v>
      </c>
      <c r="C59" s="6" t="s">
        <v>342</v>
      </c>
      <c r="D59" s="6" t="s">
        <v>343</v>
      </c>
      <c r="E59" s="6" t="s">
        <v>37</v>
      </c>
      <c r="F59" s="6" t="s">
        <v>344</v>
      </c>
      <c r="G59" s="32" t="s">
        <v>345</v>
      </c>
      <c r="H59" s="14" t="s">
        <v>346</v>
      </c>
      <c r="I59" s="12" t="s">
        <v>347</v>
      </c>
      <c r="J59" s="12"/>
      <c r="K59" s="6"/>
    </row>
    <row r="60" ht="15.75" customHeight="1">
      <c r="A60" s="6">
        <v>56.0</v>
      </c>
      <c r="B60" s="6" t="s">
        <v>18</v>
      </c>
      <c r="C60" s="6" t="s">
        <v>348</v>
      </c>
      <c r="D60" s="6" t="s">
        <v>349</v>
      </c>
      <c r="E60" s="6" t="s">
        <v>21</v>
      </c>
      <c r="F60" s="6" t="s">
        <v>118</v>
      </c>
      <c r="G60" s="7" t="s">
        <v>350</v>
      </c>
      <c r="H60" s="14" t="s">
        <v>351</v>
      </c>
      <c r="I60" s="6" t="s">
        <v>352</v>
      </c>
      <c r="J60" s="12"/>
      <c r="K60" s="6"/>
    </row>
    <row r="61" ht="15.75" customHeight="1">
      <c r="A61" s="6">
        <v>57.0</v>
      </c>
      <c r="B61" s="6" t="s">
        <v>18</v>
      </c>
      <c r="C61" s="6" t="s">
        <v>353</v>
      </c>
      <c r="D61" s="6" t="s">
        <v>354</v>
      </c>
      <c r="E61" s="6" t="s">
        <v>21</v>
      </c>
      <c r="F61" s="6" t="s">
        <v>23</v>
      </c>
      <c r="G61" s="14" t="s">
        <v>355</v>
      </c>
      <c r="H61" s="14" t="s">
        <v>356</v>
      </c>
      <c r="I61" s="12" t="s">
        <v>357</v>
      </c>
      <c r="J61" s="12"/>
      <c r="K61" s="6"/>
    </row>
    <row r="62" ht="15.75" customHeight="1">
      <c r="A62" s="6">
        <v>59.0</v>
      </c>
      <c r="B62" s="6" t="s">
        <v>18</v>
      </c>
      <c r="C62" s="6" t="s">
        <v>358</v>
      </c>
      <c r="D62" s="6" t="s">
        <v>359</v>
      </c>
      <c r="E62" s="6" t="s">
        <v>37</v>
      </c>
      <c r="F62" s="6" t="s">
        <v>219</v>
      </c>
      <c r="G62" s="14" t="s">
        <v>360</v>
      </c>
      <c r="H62" s="23" t="s">
        <v>361</v>
      </c>
      <c r="I62" s="12" t="s">
        <v>362</v>
      </c>
      <c r="J62" s="12"/>
      <c r="K62" s="6"/>
    </row>
    <row r="63" ht="15.75" customHeight="1">
      <c r="A63" s="6">
        <v>60.0</v>
      </c>
      <c r="B63" s="6" t="s">
        <v>18</v>
      </c>
      <c r="C63" s="6" t="s">
        <v>363</v>
      </c>
      <c r="D63" s="6" t="s">
        <v>364</v>
      </c>
      <c r="E63" s="6" t="s">
        <v>21</v>
      </c>
      <c r="F63" s="6" t="s">
        <v>303</v>
      </c>
      <c r="G63" s="14" t="s">
        <v>365</v>
      </c>
      <c r="H63" s="22" t="s">
        <v>305</v>
      </c>
      <c r="I63" s="12" t="s">
        <v>366</v>
      </c>
      <c r="J63" s="12"/>
      <c r="K63" s="6"/>
    </row>
    <row r="64" ht="15.75" customHeight="1">
      <c r="A64" s="6">
        <v>61.0</v>
      </c>
      <c r="B64" s="6" t="s">
        <v>18</v>
      </c>
      <c r="C64" s="6" t="s">
        <v>367</v>
      </c>
      <c r="D64" s="6" t="s">
        <v>368</v>
      </c>
      <c r="E64" s="6" t="s">
        <v>21</v>
      </c>
      <c r="F64" s="6" t="s">
        <v>118</v>
      </c>
      <c r="G64" s="14" t="s">
        <v>369</v>
      </c>
      <c r="H64" s="23" t="s">
        <v>370</v>
      </c>
      <c r="I64" s="12" t="s">
        <v>371</v>
      </c>
      <c r="J64" s="12"/>
      <c r="K64" s="6"/>
    </row>
    <row r="65" ht="15.75" customHeight="1">
      <c r="A65" s="6">
        <v>62.0</v>
      </c>
      <c r="B65" s="6" t="s">
        <v>18</v>
      </c>
      <c r="C65" s="6" t="s">
        <v>372</v>
      </c>
      <c r="D65" s="6" t="s">
        <v>373</v>
      </c>
      <c r="E65" s="6" t="s">
        <v>37</v>
      </c>
      <c r="F65" s="6" t="s">
        <v>374</v>
      </c>
      <c r="G65" s="7" t="s">
        <v>168</v>
      </c>
      <c r="H65" s="7" t="s">
        <v>375</v>
      </c>
      <c r="I65" s="6" t="s">
        <v>376</v>
      </c>
      <c r="J65" s="12"/>
      <c r="K65" s="6"/>
    </row>
    <row r="66" ht="15.75" customHeight="1">
      <c r="A66" s="6">
        <v>63.0</v>
      </c>
      <c r="B66" s="6" t="s">
        <v>18</v>
      </c>
      <c r="C66" s="6" t="s">
        <v>377</v>
      </c>
      <c r="D66" s="34" t="s">
        <v>378</v>
      </c>
      <c r="E66" s="6" t="s">
        <v>21</v>
      </c>
      <c r="F66" s="6" t="s">
        <v>379</v>
      </c>
      <c r="G66" s="25" t="s">
        <v>380</v>
      </c>
      <c r="H66" s="7" t="s">
        <v>381</v>
      </c>
      <c r="I66" s="6"/>
      <c r="J66" s="12"/>
      <c r="K66" s="6"/>
    </row>
    <row r="67" ht="15.75" customHeight="1">
      <c r="A67" s="6">
        <v>64.0</v>
      </c>
      <c r="B67" s="6" t="s">
        <v>18</v>
      </c>
      <c r="C67" s="6" t="s">
        <v>382</v>
      </c>
      <c r="D67" s="6" t="s">
        <v>383</v>
      </c>
      <c r="E67" s="6" t="s">
        <v>21</v>
      </c>
      <c r="F67" s="6" t="s">
        <v>384</v>
      </c>
      <c r="G67" s="7" t="s">
        <v>385</v>
      </c>
      <c r="H67" s="15" t="s">
        <v>386</v>
      </c>
      <c r="I67" s="6" t="s">
        <v>387</v>
      </c>
      <c r="J67" s="12"/>
      <c r="K67" s="6"/>
    </row>
    <row r="68" ht="15.75" customHeight="1">
      <c r="A68" s="6">
        <v>65.0</v>
      </c>
      <c r="B68" s="6" t="s">
        <v>18</v>
      </c>
      <c r="C68" s="6" t="s">
        <v>388</v>
      </c>
      <c r="D68" s="6" t="s">
        <v>389</v>
      </c>
      <c r="E68" s="6" t="s">
        <v>37</v>
      </c>
      <c r="F68" s="6" t="s">
        <v>390</v>
      </c>
      <c r="G68" s="7" t="s">
        <v>391</v>
      </c>
      <c r="H68" s="7" t="s">
        <v>392</v>
      </c>
      <c r="I68" s="6" t="s">
        <v>393</v>
      </c>
      <c r="J68" s="12"/>
      <c r="K68" s="6"/>
    </row>
    <row r="69" ht="15.75" customHeight="1">
      <c r="A69" s="6">
        <v>66.0</v>
      </c>
      <c r="B69" s="6" t="s">
        <v>18</v>
      </c>
      <c r="C69" s="6" t="s">
        <v>394</v>
      </c>
      <c r="D69" s="6" t="s">
        <v>395</v>
      </c>
      <c r="E69" s="6" t="s">
        <v>396</v>
      </c>
      <c r="F69" s="6" t="s">
        <v>397</v>
      </c>
      <c r="G69" s="7" t="s">
        <v>398</v>
      </c>
      <c r="H69" s="9" t="s">
        <v>399</v>
      </c>
      <c r="I69" s="6" t="s">
        <v>400</v>
      </c>
      <c r="J69" s="12"/>
      <c r="K69" s="6"/>
    </row>
    <row r="70" ht="15.75" customHeight="1">
      <c r="A70" s="6">
        <v>67.0</v>
      </c>
      <c r="B70" s="6" t="s">
        <v>18</v>
      </c>
      <c r="C70" s="6" t="s">
        <v>401</v>
      </c>
      <c r="D70" s="6" t="s">
        <v>402</v>
      </c>
      <c r="E70" s="6" t="s">
        <v>21</v>
      </c>
      <c r="F70" s="6" t="s">
        <v>102</v>
      </c>
      <c r="G70" s="14" t="s">
        <v>403</v>
      </c>
      <c r="H70" s="14" t="s">
        <v>404</v>
      </c>
      <c r="I70" s="6" t="s">
        <v>405</v>
      </c>
      <c r="J70" s="12"/>
      <c r="K70" s="6"/>
    </row>
    <row r="71" ht="15.75" customHeight="1">
      <c r="A71" s="6">
        <v>68.0</v>
      </c>
      <c r="B71" s="6" t="s">
        <v>18</v>
      </c>
      <c r="C71" s="6" t="s">
        <v>406</v>
      </c>
      <c r="D71" s="34" t="s">
        <v>407</v>
      </c>
      <c r="E71" s="6" t="s">
        <v>21</v>
      </c>
      <c r="F71" s="6" t="s">
        <v>77</v>
      </c>
      <c r="G71" s="14" t="s">
        <v>408</v>
      </c>
      <c r="H71" s="14" t="s">
        <v>409</v>
      </c>
      <c r="I71" s="6" t="s">
        <v>410</v>
      </c>
      <c r="J71" s="12"/>
      <c r="K71" s="6"/>
    </row>
    <row r="72" ht="15.75" customHeight="1">
      <c r="A72" s="6">
        <v>69.0</v>
      </c>
      <c r="B72" s="6" t="s">
        <v>18</v>
      </c>
      <c r="C72" s="6" t="s">
        <v>411</v>
      </c>
      <c r="D72" s="6" t="s">
        <v>412</v>
      </c>
      <c r="E72" s="6" t="s">
        <v>21</v>
      </c>
      <c r="F72" s="6" t="s">
        <v>112</v>
      </c>
      <c r="G72" s="14" t="s">
        <v>413</v>
      </c>
      <c r="H72" s="14" t="s">
        <v>414</v>
      </c>
      <c r="I72" s="6" t="s">
        <v>415</v>
      </c>
      <c r="J72" s="12"/>
      <c r="K72" s="6"/>
    </row>
    <row r="73" ht="15.75" customHeight="1">
      <c r="A73" s="6">
        <v>70.0</v>
      </c>
      <c r="B73" s="6" t="s">
        <v>18</v>
      </c>
      <c r="C73" s="6" t="s">
        <v>416</v>
      </c>
      <c r="D73" s="6" t="s">
        <v>417</v>
      </c>
      <c r="E73" s="6" t="s">
        <v>21</v>
      </c>
      <c r="F73" s="6" t="s">
        <v>219</v>
      </c>
      <c r="G73" s="23" t="s">
        <v>168</v>
      </c>
      <c r="H73" s="14" t="s">
        <v>418</v>
      </c>
      <c r="I73" s="14" t="s">
        <v>418</v>
      </c>
      <c r="J73" s="12"/>
      <c r="K73" s="6"/>
    </row>
    <row r="74" ht="15.75" customHeight="1">
      <c r="A74" s="6">
        <v>71.0</v>
      </c>
      <c r="B74" s="6" t="s">
        <v>18</v>
      </c>
      <c r="C74" s="6" t="s">
        <v>419</v>
      </c>
      <c r="D74" s="6" t="s">
        <v>420</v>
      </c>
      <c r="E74" s="6" t="s">
        <v>37</v>
      </c>
      <c r="F74" s="6" t="s">
        <v>421</v>
      </c>
      <c r="G74" s="7" t="s">
        <v>422</v>
      </c>
      <c r="H74" s="7" t="s">
        <v>423</v>
      </c>
      <c r="I74" s="6" t="s">
        <v>424</v>
      </c>
      <c r="J74" s="12"/>
      <c r="K74" s="6"/>
    </row>
    <row r="75" ht="15.75" customHeight="1">
      <c r="A75" s="6">
        <v>72.0</v>
      </c>
      <c r="B75" s="6" t="s">
        <v>18</v>
      </c>
      <c r="C75" s="6" t="s">
        <v>425</v>
      </c>
      <c r="D75" s="6" t="s">
        <v>426</v>
      </c>
      <c r="E75" s="6" t="s">
        <v>21</v>
      </c>
      <c r="F75" s="6" t="s">
        <v>118</v>
      </c>
      <c r="G75" s="14" t="s">
        <v>427</v>
      </c>
      <c r="H75" s="13" t="s">
        <v>428</v>
      </c>
      <c r="I75" s="6" t="s">
        <v>429</v>
      </c>
      <c r="J75" s="12"/>
      <c r="K75" s="6"/>
    </row>
    <row r="76" ht="15.75" customHeight="1">
      <c r="A76" s="6">
        <v>73.0</v>
      </c>
      <c r="B76" s="6" t="s">
        <v>18</v>
      </c>
      <c r="C76" s="6" t="s">
        <v>430</v>
      </c>
      <c r="D76" s="6" t="s">
        <v>431</v>
      </c>
      <c r="E76" s="6" t="s">
        <v>37</v>
      </c>
      <c r="F76" s="6" t="s">
        <v>112</v>
      </c>
      <c r="G76" s="14" t="s">
        <v>432</v>
      </c>
      <c r="H76" s="9" t="s">
        <v>433</v>
      </c>
      <c r="I76" s="6" t="s">
        <v>434</v>
      </c>
      <c r="J76" s="12"/>
      <c r="K76" s="6"/>
    </row>
    <row r="77" ht="15.75" customHeight="1">
      <c r="A77" s="6">
        <v>74.0</v>
      </c>
      <c r="B77" s="6" t="s">
        <v>18</v>
      </c>
      <c r="C77" s="6" t="s">
        <v>435</v>
      </c>
      <c r="D77" s="6" t="s">
        <v>436</v>
      </c>
      <c r="E77" s="6" t="s">
        <v>37</v>
      </c>
      <c r="F77" s="6" t="s">
        <v>69</v>
      </c>
      <c r="G77" s="7" t="s">
        <v>437</v>
      </c>
      <c r="H77" s="7" t="s">
        <v>438</v>
      </c>
      <c r="I77" s="6" t="s">
        <v>439</v>
      </c>
      <c r="J77" s="12"/>
      <c r="K77" s="6"/>
    </row>
    <row r="78" ht="15.75" customHeight="1">
      <c r="A78" s="6">
        <v>75.0</v>
      </c>
      <c r="B78" s="6" t="s">
        <v>18</v>
      </c>
      <c r="C78" s="6" t="s">
        <v>440</v>
      </c>
      <c r="D78" s="6" t="s">
        <v>441</v>
      </c>
      <c r="E78" s="6" t="s">
        <v>21</v>
      </c>
      <c r="F78" s="6" t="s">
        <v>141</v>
      </c>
      <c r="G78" s="23" t="s">
        <v>168</v>
      </c>
      <c r="H78" s="9" t="s">
        <v>442</v>
      </c>
      <c r="I78" s="6" t="s">
        <v>443</v>
      </c>
      <c r="J78" s="12"/>
      <c r="K78" s="6"/>
    </row>
    <row r="79" ht="15.75" customHeight="1">
      <c r="A79" s="6">
        <v>76.0</v>
      </c>
      <c r="B79" s="6" t="s">
        <v>18</v>
      </c>
      <c r="C79" s="6" t="s">
        <v>444</v>
      </c>
      <c r="D79" s="6" t="s">
        <v>445</v>
      </c>
      <c r="E79" s="6" t="s">
        <v>21</v>
      </c>
      <c r="F79" s="6" t="s">
        <v>83</v>
      </c>
      <c r="G79" s="7" t="s">
        <v>446</v>
      </c>
      <c r="H79" s="7" t="s">
        <v>447</v>
      </c>
      <c r="I79" s="6" t="s">
        <v>448</v>
      </c>
      <c r="J79" s="12"/>
      <c r="K79" s="6"/>
    </row>
    <row r="80" ht="15.75" customHeight="1">
      <c r="A80" s="6">
        <v>77.0</v>
      </c>
      <c r="B80" s="6" t="s">
        <v>18</v>
      </c>
      <c r="C80" s="6" t="s">
        <v>449</v>
      </c>
      <c r="D80" s="6" t="s">
        <v>450</v>
      </c>
      <c r="E80" s="6" t="s">
        <v>451</v>
      </c>
      <c r="F80" s="6" t="s">
        <v>187</v>
      </c>
      <c r="G80" s="23" t="s">
        <v>168</v>
      </c>
      <c r="H80" s="7" t="s">
        <v>452</v>
      </c>
      <c r="I80" s="12" t="s">
        <v>453</v>
      </c>
      <c r="J80" s="12"/>
      <c r="K80" s="6"/>
    </row>
    <row r="81" ht="15.75" customHeight="1">
      <c r="A81" s="6">
        <v>78.0</v>
      </c>
      <c r="B81" s="6" t="s">
        <v>18</v>
      </c>
      <c r="C81" s="6" t="s">
        <v>454</v>
      </c>
      <c r="D81" s="6" t="s">
        <v>455</v>
      </c>
      <c r="E81" s="6" t="s">
        <v>62</v>
      </c>
      <c r="F81" s="6" t="s">
        <v>187</v>
      </c>
      <c r="G81" s="14" t="s">
        <v>456</v>
      </c>
      <c r="H81" s="14" t="s">
        <v>457</v>
      </c>
      <c r="I81" s="12" t="s">
        <v>458</v>
      </c>
      <c r="J81" s="12"/>
      <c r="K81" s="6"/>
    </row>
    <row r="82" ht="15.75" customHeight="1">
      <c r="A82" s="6">
        <v>79.0</v>
      </c>
      <c r="B82" s="6" t="s">
        <v>34</v>
      </c>
      <c r="C82" s="6" t="s">
        <v>459</v>
      </c>
      <c r="D82" s="6" t="s">
        <v>460</v>
      </c>
      <c r="E82" s="6" t="s">
        <v>21</v>
      </c>
      <c r="F82" s="6" t="s">
        <v>461</v>
      </c>
      <c r="G82" s="23" t="s">
        <v>168</v>
      </c>
      <c r="H82" s="22" t="s">
        <v>462</v>
      </c>
      <c r="I82" s="6" t="s">
        <v>463</v>
      </c>
      <c r="J82" s="12"/>
      <c r="K82" s="6"/>
    </row>
    <row r="83" ht="15.75" customHeight="1">
      <c r="A83" s="6">
        <v>80.0</v>
      </c>
      <c r="B83" s="6" t="s">
        <v>34</v>
      </c>
      <c r="C83" s="6" t="s">
        <v>464</v>
      </c>
      <c r="D83" s="6" t="s">
        <v>465</v>
      </c>
      <c r="E83" s="6" t="s">
        <v>21</v>
      </c>
      <c r="F83" s="6" t="s">
        <v>466</v>
      </c>
      <c r="G83" s="7" t="s">
        <v>467</v>
      </c>
      <c r="H83" s="35" t="s">
        <v>72</v>
      </c>
      <c r="I83" s="12" t="s">
        <v>468</v>
      </c>
      <c r="J83" s="12"/>
      <c r="K83" s="12" t="s">
        <v>469</v>
      </c>
    </row>
    <row r="84" ht="15.75" customHeight="1">
      <c r="A84" s="6">
        <v>81.0</v>
      </c>
      <c r="B84" s="6" t="s">
        <v>34</v>
      </c>
      <c r="C84" s="6" t="s">
        <v>470</v>
      </c>
      <c r="D84" s="6" t="s">
        <v>471</v>
      </c>
      <c r="E84" s="6" t="s">
        <v>21</v>
      </c>
      <c r="F84" s="6" t="s">
        <v>472</v>
      </c>
      <c r="G84" s="7" t="s">
        <v>473</v>
      </c>
      <c r="H84" s="9" t="s">
        <v>474</v>
      </c>
      <c r="I84" s="12" t="s">
        <v>475</v>
      </c>
      <c r="J84" s="12"/>
      <c r="K84" s="6"/>
    </row>
    <row r="85" ht="15.75" customHeight="1">
      <c r="A85" s="6">
        <v>82.0</v>
      </c>
      <c r="B85" s="6" t="s">
        <v>34</v>
      </c>
      <c r="C85" s="6" t="s">
        <v>476</v>
      </c>
      <c r="D85" s="6" t="s">
        <v>477</v>
      </c>
      <c r="E85" s="6" t="s">
        <v>21</v>
      </c>
      <c r="F85" s="6" t="s">
        <v>466</v>
      </c>
      <c r="G85" s="23" t="s">
        <v>478</v>
      </c>
      <c r="H85" s="7" t="s">
        <v>479</v>
      </c>
      <c r="I85" s="6" t="s">
        <v>480</v>
      </c>
      <c r="J85" s="12"/>
      <c r="K85" s="12" t="s">
        <v>481</v>
      </c>
    </row>
    <row r="86" ht="15.75" customHeight="1">
      <c r="A86" s="6">
        <v>83.0</v>
      </c>
      <c r="B86" s="6" t="s">
        <v>34</v>
      </c>
      <c r="C86" s="6" t="s">
        <v>482</v>
      </c>
      <c r="D86" s="6" t="s">
        <v>483</v>
      </c>
      <c r="E86" s="6" t="s">
        <v>21</v>
      </c>
      <c r="F86" s="6" t="s">
        <v>484</v>
      </c>
      <c r="G86" s="23" t="s">
        <v>168</v>
      </c>
      <c r="H86" s="23" t="s">
        <v>485</v>
      </c>
      <c r="I86" s="6" t="s">
        <v>486</v>
      </c>
      <c r="J86" s="12"/>
      <c r="K86" s="6"/>
    </row>
    <row r="87" ht="15.75" customHeight="1">
      <c r="A87" s="6">
        <v>84.0</v>
      </c>
      <c r="B87" s="6" t="s">
        <v>34</v>
      </c>
      <c r="C87" s="6" t="s">
        <v>487</v>
      </c>
      <c r="D87" s="6" t="s">
        <v>488</v>
      </c>
      <c r="E87" s="6" t="s">
        <v>396</v>
      </c>
      <c r="F87" s="6" t="s">
        <v>472</v>
      </c>
      <c r="G87" s="23" t="s">
        <v>168</v>
      </c>
      <c r="H87" s="23" t="s">
        <v>489</v>
      </c>
      <c r="I87" s="12" t="s">
        <v>490</v>
      </c>
      <c r="J87" s="12"/>
      <c r="K87" s="6"/>
    </row>
    <row r="88" ht="15.75" customHeight="1">
      <c r="A88" s="6">
        <v>85.0</v>
      </c>
      <c r="B88" s="6" t="s">
        <v>34</v>
      </c>
      <c r="C88" s="6" t="s">
        <v>491</v>
      </c>
      <c r="D88" s="6" t="s">
        <v>492</v>
      </c>
      <c r="E88" s="6" t="s">
        <v>37</v>
      </c>
      <c r="F88" s="6" t="s">
        <v>38</v>
      </c>
      <c r="G88" s="7" t="s">
        <v>493</v>
      </c>
      <c r="H88" s="22" t="s">
        <v>494</v>
      </c>
      <c r="I88" s="6" t="s">
        <v>495</v>
      </c>
      <c r="J88" s="12"/>
      <c r="K88" s="6"/>
    </row>
    <row r="89" ht="15.75" customHeight="1">
      <c r="A89" s="6">
        <v>86.0</v>
      </c>
      <c r="B89" s="6" t="s">
        <v>34</v>
      </c>
      <c r="C89" s="6" t="s">
        <v>35</v>
      </c>
      <c r="D89" s="6" t="s">
        <v>36</v>
      </c>
      <c r="E89" s="6" t="s">
        <v>37</v>
      </c>
      <c r="F89" s="6" t="s">
        <v>38</v>
      </c>
      <c r="G89" s="23" t="s">
        <v>168</v>
      </c>
      <c r="H89" s="22" t="s">
        <v>496</v>
      </c>
      <c r="I89" s="12" t="s">
        <v>497</v>
      </c>
      <c r="J89" s="12"/>
      <c r="K89" s="6"/>
    </row>
    <row r="90" ht="15.75" customHeight="1">
      <c r="A90" s="6">
        <v>87.0</v>
      </c>
      <c r="B90" s="6" t="s">
        <v>34</v>
      </c>
      <c r="C90" s="6" t="s">
        <v>498</v>
      </c>
      <c r="D90" s="6" t="s">
        <v>499</v>
      </c>
      <c r="E90" s="6" t="s">
        <v>37</v>
      </c>
      <c r="F90" s="6" t="s">
        <v>500</v>
      </c>
      <c r="G90" s="7" t="s">
        <v>501</v>
      </c>
      <c r="H90" s="23" t="s">
        <v>168</v>
      </c>
      <c r="I90" s="12" t="s">
        <v>502</v>
      </c>
      <c r="J90" s="12"/>
      <c r="K90" s="6" t="s">
        <v>503</v>
      </c>
    </row>
    <row r="91" ht="15.75" customHeight="1">
      <c r="A91" s="6">
        <v>88.0</v>
      </c>
      <c r="B91" s="6" t="s">
        <v>34</v>
      </c>
      <c r="C91" s="6" t="s">
        <v>504</v>
      </c>
      <c r="D91" s="6" t="s">
        <v>505</v>
      </c>
      <c r="E91" s="6" t="s">
        <v>37</v>
      </c>
      <c r="F91" s="6" t="s">
        <v>506</v>
      </c>
      <c r="G91" s="7" t="s">
        <v>507</v>
      </c>
      <c r="H91" s="23" t="s">
        <v>508</v>
      </c>
      <c r="I91" s="6" t="s">
        <v>509</v>
      </c>
      <c r="J91" s="12"/>
      <c r="K91" s="6"/>
    </row>
    <row r="92" ht="15.75" customHeight="1">
      <c r="A92" s="6">
        <v>89.0</v>
      </c>
      <c r="B92" s="6" t="s">
        <v>34</v>
      </c>
      <c r="C92" s="6" t="s">
        <v>510</v>
      </c>
      <c r="D92" s="6" t="s">
        <v>511</v>
      </c>
      <c r="E92" s="6" t="s">
        <v>37</v>
      </c>
      <c r="F92" s="6" t="s">
        <v>38</v>
      </c>
      <c r="G92" s="7" t="s">
        <v>512</v>
      </c>
      <c r="H92" s="22" t="s">
        <v>513</v>
      </c>
      <c r="I92" s="12" t="s">
        <v>514</v>
      </c>
      <c r="J92" s="12"/>
      <c r="K92" s="6"/>
    </row>
    <row r="93" ht="15.75" customHeight="1">
      <c r="A93" s="6">
        <v>90.0</v>
      </c>
      <c r="B93" s="6" t="s">
        <v>34</v>
      </c>
      <c r="C93" s="6" t="s">
        <v>515</v>
      </c>
      <c r="D93" s="6" t="s">
        <v>516</v>
      </c>
      <c r="E93" s="6" t="s">
        <v>37</v>
      </c>
      <c r="F93" s="6" t="s">
        <v>38</v>
      </c>
      <c r="G93" s="7" t="s">
        <v>517</v>
      </c>
      <c r="H93" s="22" t="s">
        <v>518</v>
      </c>
      <c r="I93" s="12" t="s">
        <v>519</v>
      </c>
      <c r="J93" s="12"/>
      <c r="K93" s="6"/>
    </row>
    <row r="94" ht="15.75" customHeight="1">
      <c r="A94" s="6">
        <v>91.0</v>
      </c>
      <c r="B94" s="6" t="s">
        <v>34</v>
      </c>
      <c r="C94" s="6" t="s">
        <v>520</v>
      </c>
      <c r="D94" s="6" t="s">
        <v>521</v>
      </c>
      <c r="E94" s="6" t="s">
        <v>37</v>
      </c>
      <c r="F94" s="6" t="s">
        <v>522</v>
      </c>
      <c r="G94" s="7" t="s">
        <v>523</v>
      </c>
      <c r="H94" s="20" t="s">
        <v>524</v>
      </c>
      <c r="I94" s="6" t="s">
        <v>525</v>
      </c>
      <c r="J94" s="12"/>
      <c r="K94" s="6"/>
    </row>
    <row r="95" ht="15.75" customHeight="1">
      <c r="A95" s="6">
        <v>92.0</v>
      </c>
      <c r="B95" s="6" t="s">
        <v>34</v>
      </c>
      <c r="C95" s="6" t="s">
        <v>526</v>
      </c>
      <c r="D95" s="6" t="s">
        <v>527</v>
      </c>
      <c r="E95" s="6" t="s">
        <v>37</v>
      </c>
      <c r="F95" s="6" t="s">
        <v>522</v>
      </c>
      <c r="G95" s="7" t="s">
        <v>528</v>
      </c>
      <c r="H95" s="22" t="s">
        <v>529</v>
      </c>
      <c r="I95" s="6" t="s">
        <v>530</v>
      </c>
      <c r="J95" s="12"/>
      <c r="K95" s="6"/>
    </row>
    <row r="96" ht="15.75" customHeight="1">
      <c r="A96" s="6">
        <v>93.0</v>
      </c>
      <c r="B96" s="6" t="s">
        <v>34</v>
      </c>
      <c r="C96" s="6" t="s">
        <v>531</v>
      </c>
      <c r="D96" s="6" t="s">
        <v>532</v>
      </c>
      <c r="E96" s="6" t="s">
        <v>37</v>
      </c>
      <c r="F96" s="6" t="s">
        <v>522</v>
      </c>
      <c r="G96" s="7" t="s">
        <v>533</v>
      </c>
      <c r="H96" s="22" t="s">
        <v>534</v>
      </c>
      <c r="I96" s="6" t="s">
        <v>535</v>
      </c>
      <c r="J96" s="12"/>
      <c r="K96" s="6"/>
    </row>
    <row r="97" ht="15.75" customHeight="1">
      <c r="A97" s="6">
        <v>94.0</v>
      </c>
      <c r="B97" s="6" t="s">
        <v>34</v>
      </c>
      <c r="C97" s="6" t="s">
        <v>536</v>
      </c>
      <c r="D97" s="6" t="s">
        <v>537</v>
      </c>
      <c r="E97" s="6" t="s">
        <v>37</v>
      </c>
      <c r="F97" s="6" t="s">
        <v>522</v>
      </c>
      <c r="G97" s="23" t="s">
        <v>168</v>
      </c>
      <c r="H97" s="14" t="s">
        <v>538</v>
      </c>
      <c r="I97" s="12" t="s">
        <v>539</v>
      </c>
      <c r="J97" s="12"/>
      <c r="K97" s="6" t="s">
        <v>540</v>
      </c>
    </row>
    <row r="98" ht="15.75" customHeight="1">
      <c r="A98" s="6">
        <v>95.0</v>
      </c>
      <c r="B98" s="6" t="s">
        <v>34</v>
      </c>
      <c r="C98" s="6" t="s">
        <v>541</v>
      </c>
      <c r="D98" s="6" t="s">
        <v>542</v>
      </c>
      <c r="E98" s="6" t="s">
        <v>37</v>
      </c>
      <c r="F98" s="6" t="s">
        <v>522</v>
      </c>
      <c r="G98" s="7" t="s">
        <v>543</v>
      </c>
      <c r="H98" s="22" t="s">
        <v>544</v>
      </c>
      <c r="I98" s="6" t="s">
        <v>545</v>
      </c>
      <c r="J98" s="12"/>
      <c r="K98" s="6"/>
    </row>
    <row r="99" ht="15.75" customHeight="1">
      <c r="A99" s="6">
        <v>96.0</v>
      </c>
      <c r="B99" s="6" t="s">
        <v>34</v>
      </c>
      <c r="C99" s="6" t="s">
        <v>546</v>
      </c>
      <c r="D99" s="6" t="s">
        <v>547</v>
      </c>
      <c r="E99" s="6" t="s">
        <v>37</v>
      </c>
      <c r="F99" s="6" t="s">
        <v>38</v>
      </c>
      <c r="G99" s="7" t="s">
        <v>548</v>
      </c>
      <c r="H99" s="22" t="s">
        <v>549</v>
      </c>
      <c r="I99" s="6" t="s">
        <v>550</v>
      </c>
      <c r="J99" s="12"/>
      <c r="K99" s="6"/>
    </row>
    <row r="100" ht="15.75" customHeight="1">
      <c r="A100" s="6">
        <v>97.0</v>
      </c>
      <c r="B100" s="6" t="s">
        <v>34</v>
      </c>
      <c r="C100" s="6" t="s">
        <v>551</v>
      </c>
      <c r="D100" s="6" t="s">
        <v>552</v>
      </c>
      <c r="E100" s="6" t="s">
        <v>37</v>
      </c>
      <c r="F100" s="6" t="s">
        <v>38</v>
      </c>
      <c r="G100" s="7" t="s">
        <v>553</v>
      </c>
      <c r="H100" s="23" t="s">
        <v>554</v>
      </c>
      <c r="I100" s="6" t="s">
        <v>555</v>
      </c>
      <c r="J100" s="12"/>
      <c r="K100" s="6"/>
    </row>
    <row r="101" ht="15.75" customHeight="1">
      <c r="A101" s="6">
        <v>98.0</v>
      </c>
      <c r="B101" s="6" t="s">
        <v>34</v>
      </c>
      <c r="C101" s="6" t="s">
        <v>556</v>
      </c>
      <c r="D101" s="6" t="s">
        <v>557</v>
      </c>
      <c r="E101" s="6" t="s">
        <v>37</v>
      </c>
      <c r="F101" s="6" t="s">
        <v>38</v>
      </c>
      <c r="G101" s="7" t="s">
        <v>558</v>
      </c>
      <c r="H101" s="23" t="s">
        <v>559</v>
      </c>
      <c r="I101" s="6" t="s">
        <v>560</v>
      </c>
      <c r="J101" s="12"/>
      <c r="K101" s="6"/>
    </row>
    <row r="102" ht="15.75" customHeight="1">
      <c r="A102" s="6">
        <v>99.0</v>
      </c>
      <c r="B102" s="6" t="s">
        <v>34</v>
      </c>
      <c r="C102" s="6" t="s">
        <v>561</v>
      </c>
      <c r="D102" s="6" t="s">
        <v>562</v>
      </c>
      <c r="E102" s="6" t="s">
        <v>21</v>
      </c>
      <c r="F102" s="6" t="s">
        <v>522</v>
      </c>
      <c r="G102" s="23" t="s">
        <v>168</v>
      </c>
      <c r="H102" s="22" t="s">
        <v>563</v>
      </c>
      <c r="I102" s="28" t="s">
        <v>564</v>
      </c>
      <c r="J102" s="12"/>
      <c r="K102" s="6"/>
    </row>
    <row r="103" ht="15.75" customHeight="1">
      <c r="A103" s="6">
        <v>100.0</v>
      </c>
      <c r="B103" s="6" t="s">
        <v>34</v>
      </c>
      <c r="C103" s="6" t="s">
        <v>565</v>
      </c>
      <c r="D103" s="6" t="s">
        <v>566</v>
      </c>
      <c r="E103" s="6" t="s">
        <v>21</v>
      </c>
      <c r="F103" s="6" t="s">
        <v>522</v>
      </c>
      <c r="G103" s="7" t="s">
        <v>567</v>
      </c>
      <c r="H103" s="22" t="s">
        <v>568</v>
      </c>
      <c r="I103" s="12" t="s">
        <v>568</v>
      </c>
      <c r="J103" s="12"/>
      <c r="K103" s="6"/>
    </row>
    <row r="104" ht="15.75" customHeight="1">
      <c r="A104" s="6">
        <v>101.0</v>
      </c>
      <c r="B104" s="6" t="s">
        <v>34</v>
      </c>
      <c r="C104" s="6" t="s">
        <v>569</v>
      </c>
      <c r="D104" s="6" t="s">
        <v>570</v>
      </c>
      <c r="E104" s="6" t="s">
        <v>21</v>
      </c>
      <c r="F104" s="6" t="s">
        <v>522</v>
      </c>
      <c r="G104" s="23" t="s">
        <v>168</v>
      </c>
      <c r="H104" s="13" t="s">
        <v>571</v>
      </c>
      <c r="I104" s="6" t="s">
        <v>572</v>
      </c>
      <c r="J104" s="12"/>
      <c r="K104" s="6"/>
    </row>
    <row r="105" ht="15.75" customHeight="1">
      <c r="A105" s="6">
        <v>102.0</v>
      </c>
      <c r="B105" s="6" t="s">
        <v>34</v>
      </c>
      <c r="C105" s="6" t="s">
        <v>573</v>
      </c>
      <c r="D105" s="6" t="s">
        <v>574</v>
      </c>
      <c r="E105" s="6" t="s">
        <v>21</v>
      </c>
      <c r="F105" s="6" t="s">
        <v>522</v>
      </c>
      <c r="G105" s="23" t="s">
        <v>168</v>
      </c>
      <c r="H105" s="23" t="s">
        <v>575</v>
      </c>
      <c r="I105" s="6" t="s">
        <v>576</v>
      </c>
      <c r="J105" s="12"/>
      <c r="K105" s="6"/>
    </row>
    <row r="106" ht="15.75" customHeight="1">
      <c r="A106" s="6">
        <v>103.0</v>
      </c>
      <c r="B106" s="6" t="s">
        <v>34</v>
      </c>
      <c r="C106" s="6" t="s">
        <v>577</v>
      </c>
      <c r="D106" s="6" t="s">
        <v>578</v>
      </c>
      <c r="E106" s="6" t="s">
        <v>37</v>
      </c>
      <c r="F106" s="6" t="s">
        <v>38</v>
      </c>
      <c r="G106" s="7" t="s">
        <v>579</v>
      </c>
      <c r="H106" s="23" t="s">
        <v>168</v>
      </c>
      <c r="I106" s="6" t="s">
        <v>580</v>
      </c>
      <c r="J106" s="12"/>
      <c r="K106" s="6"/>
    </row>
    <row r="107" ht="15.75" customHeight="1">
      <c r="A107" s="6">
        <v>104.0</v>
      </c>
      <c r="B107" s="6" t="s">
        <v>34</v>
      </c>
      <c r="C107" s="6" t="s">
        <v>581</v>
      </c>
      <c r="D107" s="6" t="s">
        <v>582</v>
      </c>
      <c r="E107" s="6" t="s">
        <v>37</v>
      </c>
      <c r="F107" s="6" t="s">
        <v>583</v>
      </c>
      <c r="G107" s="20" t="s">
        <v>584</v>
      </c>
      <c r="H107" s="23" t="s">
        <v>168</v>
      </c>
      <c r="I107" s="12" t="s">
        <v>585</v>
      </c>
      <c r="J107" s="12"/>
      <c r="K107" s="6"/>
    </row>
    <row r="108" ht="15.75" customHeight="1">
      <c r="A108" s="6">
        <v>105.0</v>
      </c>
      <c r="B108" s="6" t="s">
        <v>34</v>
      </c>
      <c r="C108" s="6" t="s">
        <v>586</v>
      </c>
      <c r="D108" s="6" t="s">
        <v>587</v>
      </c>
      <c r="E108" s="6" t="s">
        <v>37</v>
      </c>
      <c r="F108" s="6" t="s">
        <v>506</v>
      </c>
      <c r="G108" s="7" t="s">
        <v>588</v>
      </c>
      <c r="H108" s="36" t="s">
        <v>589</v>
      </c>
      <c r="I108" s="6" t="s">
        <v>590</v>
      </c>
      <c r="J108" s="12"/>
      <c r="K108" s="6"/>
    </row>
    <row r="109" ht="15.75" customHeight="1">
      <c r="A109" s="6">
        <v>106.0</v>
      </c>
      <c r="B109" s="6" t="s">
        <v>34</v>
      </c>
      <c r="C109" s="6" t="s">
        <v>591</v>
      </c>
      <c r="D109" s="6" t="s">
        <v>592</v>
      </c>
      <c r="E109" s="6" t="s">
        <v>37</v>
      </c>
      <c r="F109" s="6" t="s">
        <v>593</v>
      </c>
      <c r="G109" s="7" t="s">
        <v>594</v>
      </c>
      <c r="H109" s="37" t="s">
        <v>595</v>
      </c>
      <c r="I109" s="6" t="s">
        <v>596</v>
      </c>
      <c r="J109" s="12"/>
      <c r="K109" s="6"/>
    </row>
    <row r="110" ht="15.75" customHeight="1">
      <c r="A110" s="6">
        <v>107.0</v>
      </c>
      <c r="B110" s="6" t="s">
        <v>34</v>
      </c>
      <c r="C110" s="6" t="s">
        <v>597</v>
      </c>
      <c r="D110" s="6" t="s">
        <v>598</v>
      </c>
      <c r="E110" s="6" t="s">
        <v>37</v>
      </c>
      <c r="F110" s="6" t="s">
        <v>506</v>
      </c>
      <c r="G110" s="7" t="s">
        <v>599</v>
      </c>
      <c r="H110" s="38" t="s">
        <v>600</v>
      </c>
      <c r="I110" s="6" t="s">
        <v>601</v>
      </c>
      <c r="J110" s="12"/>
      <c r="K110" s="6"/>
    </row>
    <row r="111" ht="15.75" customHeight="1">
      <c r="A111" s="6">
        <v>108.0</v>
      </c>
      <c r="B111" s="6" t="s">
        <v>34</v>
      </c>
      <c r="C111" s="6" t="s">
        <v>602</v>
      </c>
      <c r="D111" s="6" t="s">
        <v>603</v>
      </c>
      <c r="E111" s="6" t="s">
        <v>604</v>
      </c>
      <c r="F111" s="6" t="s">
        <v>605</v>
      </c>
      <c r="G111" s="38" t="s">
        <v>168</v>
      </c>
      <c r="H111" s="38" t="s">
        <v>606</v>
      </c>
      <c r="I111" s="39" t="s">
        <v>607</v>
      </c>
      <c r="J111" s="12"/>
      <c r="K111" s="6"/>
    </row>
    <row r="112" ht="15.75" customHeight="1">
      <c r="A112" s="6">
        <v>109.0</v>
      </c>
      <c r="B112" s="6" t="s">
        <v>34</v>
      </c>
      <c r="C112" s="6" t="s">
        <v>608</v>
      </c>
      <c r="D112" s="6" t="s">
        <v>609</v>
      </c>
      <c r="E112" s="6" t="s">
        <v>37</v>
      </c>
      <c r="F112" s="6" t="s">
        <v>522</v>
      </c>
      <c r="G112" s="38" t="s">
        <v>168</v>
      </c>
      <c r="H112" s="38" t="s">
        <v>610</v>
      </c>
      <c r="I112" s="39" t="s">
        <v>611</v>
      </c>
      <c r="J112" s="12"/>
      <c r="K112" s="6"/>
    </row>
    <row r="113" ht="15.75" customHeight="1">
      <c r="A113" s="6">
        <v>110.0</v>
      </c>
      <c r="B113" s="6" t="s">
        <v>34</v>
      </c>
      <c r="C113" s="40" t="s">
        <v>612</v>
      </c>
      <c r="D113" s="6" t="s">
        <v>613</v>
      </c>
      <c r="E113" s="6" t="s">
        <v>21</v>
      </c>
      <c r="F113" s="6" t="s">
        <v>38</v>
      </c>
      <c r="G113" s="38" t="s">
        <v>168</v>
      </c>
      <c r="H113" s="38" t="s">
        <v>614</v>
      </c>
      <c r="I113" s="41" t="s">
        <v>615</v>
      </c>
      <c r="J113" s="12"/>
      <c r="K113" s="6"/>
    </row>
    <row r="114" ht="15.75" customHeight="1">
      <c r="A114" s="6"/>
      <c r="B114" s="6" t="s">
        <v>34</v>
      </c>
      <c r="C114" s="40" t="s">
        <v>616</v>
      </c>
      <c r="D114" s="40" t="s">
        <v>617</v>
      </c>
      <c r="E114" s="6" t="s">
        <v>21</v>
      </c>
      <c r="F114" s="6" t="s">
        <v>38</v>
      </c>
      <c r="G114" s="38" t="s">
        <v>168</v>
      </c>
      <c r="H114" s="38" t="s">
        <v>614</v>
      </c>
      <c r="I114" s="41" t="s">
        <v>615</v>
      </c>
      <c r="J114" s="12"/>
      <c r="K114" s="6"/>
    </row>
    <row r="115" ht="15.75" customHeight="1">
      <c r="A115" s="6">
        <v>111.0</v>
      </c>
      <c r="B115" s="6" t="s">
        <v>34</v>
      </c>
      <c r="C115" s="6" t="s">
        <v>618</v>
      </c>
      <c r="D115" s="6" t="s">
        <v>619</v>
      </c>
      <c r="E115" s="6" t="s">
        <v>37</v>
      </c>
      <c r="F115" s="6" t="s">
        <v>583</v>
      </c>
      <c r="G115" s="7" t="s">
        <v>620</v>
      </c>
      <c r="H115" s="38" t="s">
        <v>621</v>
      </c>
      <c r="I115" s="39" t="s">
        <v>622</v>
      </c>
      <c r="J115" s="12"/>
      <c r="K115" s="6"/>
    </row>
    <row r="116" ht="15.75" customHeight="1">
      <c r="A116" s="6">
        <v>112.0</v>
      </c>
      <c r="B116" s="6" t="s">
        <v>34</v>
      </c>
      <c r="C116" s="6" t="s">
        <v>623</v>
      </c>
      <c r="D116" s="6" t="s">
        <v>624</v>
      </c>
      <c r="E116" s="6" t="s">
        <v>37</v>
      </c>
      <c r="F116" s="6" t="s">
        <v>583</v>
      </c>
      <c r="G116" s="7" t="s">
        <v>625</v>
      </c>
      <c r="H116" s="38" t="s">
        <v>626</v>
      </c>
      <c r="I116" s="41" t="s">
        <v>627</v>
      </c>
      <c r="J116" s="12"/>
      <c r="K116" s="6"/>
    </row>
    <row r="117" ht="15.75" customHeight="1">
      <c r="A117" s="6">
        <v>113.0</v>
      </c>
      <c r="B117" s="6" t="s">
        <v>34</v>
      </c>
      <c r="C117" s="6" t="s">
        <v>628</v>
      </c>
      <c r="D117" s="6" t="s">
        <v>629</v>
      </c>
      <c r="E117" s="6" t="s">
        <v>21</v>
      </c>
      <c r="F117" s="6" t="s">
        <v>522</v>
      </c>
      <c r="G117" s="7" t="s">
        <v>630</v>
      </c>
      <c r="H117" s="38" t="s">
        <v>631</v>
      </c>
      <c r="I117" s="6" t="s">
        <v>632</v>
      </c>
      <c r="J117" s="12"/>
      <c r="K117" s="6"/>
    </row>
    <row r="118" ht="15.75" customHeight="1">
      <c r="A118" s="6">
        <v>114.0</v>
      </c>
      <c r="B118" s="6" t="s">
        <v>34</v>
      </c>
      <c r="C118" s="6" t="s">
        <v>633</v>
      </c>
      <c r="D118" s="6" t="s">
        <v>634</v>
      </c>
      <c r="E118" s="6" t="s">
        <v>21</v>
      </c>
      <c r="F118" s="6" t="s">
        <v>522</v>
      </c>
      <c r="G118" s="38" t="s">
        <v>635</v>
      </c>
      <c r="H118" s="37" t="s">
        <v>636</v>
      </c>
      <c r="I118" s="6" t="s">
        <v>637</v>
      </c>
      <c r="J118" s="12"/>
      <c r="K118" s="6"/>
    </row>
    <row r="119" ht="15.75" customHeight="1">
      <c r="A119" s="6">
        <v>115.0</v>
      </c>
      <c r="B119" s="6" t="s">
        <v>34</v>
      </c>
      <c r="C119" s="6" t="s">
        <v>638</v>
      </c>
      <c r="D119" s="6" t="s">
        <v>639</v>
      </c>
      <c r="E119" s="6" t="s">
        <v>37</v>
      </c>
      <c r="F119" s="6" t="s">
        <v>640</v>
      </c>
      <c r="G119" s="38" t="s">
        <v>168</v>
      </c>
      <c r="H119" s="7" t="s">
        <v>641</v>
      </c>
      <c r="I119" s="6" t="s">
        <v>642</v>
      </c>
      <c r="J119" s="12"/>
      <c r="K119" s="6"/>
    </row>
    <row r="120" ht="15.75" customHeight="1">
      <c r="A120" s="6">
        <v>116.0</v>
      </c>
      <c r="B120" s="6" t="s">
        <v>34</v>
      </c>
      <c r="C120" s="6" t="s">
        <v>643</v>
      </c>
      <c r="D120" s="6" t="s">
        <v>644</v>
      </c>
      <c r="E120" s="6" t="s">
        <v>21</v>
      </c>
      <c r="F120" s="6" t="s">
        <v>522</v>
      </c>
      <c r="G120" s="7" t="s">
        <v>645</v>
      </c>
      <c r="H120" s="38" t="s">
        <v>646</v>
      </c>
      <c r="I120" s="39" t="s">
        <v>647</v>
      </c>
      <c r="J120" s="12"/>
      <c r="K120" s="6"/>
    </row>
    <row r="121" ht="15.75" customHeight="1">
      <c r="A121" s="6">
        <v>117.0</v>
      </c>
      <c r="B121" s="6" t="s">
        <v>34</v>
      </c>
      <c r="C121" s="6" t="s">
        <v>648</v>
      </c>
      <c r="D121" s="6" t="s">
        <v>649</v>
      </c>
      <c r="E121" s="6" t="s">
        <v>21</v>
      </c>
      <c r="F121" s="6" t="s">
        <v>650</v>
      </c>
      <c r="G121" s="42" t="s">
        <v>651</v>
      </c>
      <c r="H121" s="38" t="s">
        <v>168</v>
      </c>
      <c r="I121" s="39" t="s">
        <v>652</v>
      </c>
      <c r="J121" s="12"/>
      <c r="K121" s="6"/>
    </row>
    <row r="122" ht="15.75" customHeight="1">
      <c r="A122" s="6">
        <v>118.0</v>
      </c>
      <c r="B122" s="6" t="s">
        <v>34</v>
      </c>
      <c r="C122" s="6" t="s">
        <v>653</v>
      </c>
      <c r="D122" s="6" t="s">
        <v>654</v>
      </c>
      <c r="E122" s="6" t="s">
        <v>21</v>
      </c>
      <c r="F122" s="6" t="s">
        <v>655</v>
      </c>
      <c r="G122" s="38" t="s">
        <v>656</v>
      </c>
      <c r="H122" s="38" t="s">
        <v>657</v>
      </c>
      <c r="I122" s="6" t="s">
        <v>658</v>
      </c>
      <c r="J122" s="12"/>
      <c r="K122" s="40" t="s">
        <v>659</v>
      </c>
    </row>
    <row r="123" ht="15.75" customHeight="1">
      <c r="A123" s="6">
        <v>119.0</v>
      </c>
      <c r="B123" s="6" t="s">
        <v>34</v>
      </c>
      <c r="C123" s="6" t="s">
        <v>660</v>
      </c>
      <c r="D123" s="6" t="s">
        <v>661</v>
      </c>
      <c r="E123" s="6" t="s">
        <v>37</v>
      </c>
      <c r="F123" s="6" t="s">
        <v>662</v>
      </c>
      <c r="G123" s="38" t="s">
        <v>168</v>
      </c>
      <c r="H123" s="38" t="s">
        <v>663</v>
      </c>
      <c r="I123" s="39" t="s">
        <v>664</v>
      </c>
      <c r="J123" s="12"/>
      <c r="K123" s="6"/>
    </row>
    <row r="124" ht="15.75" customHeight="1">
      <c r="A124" s="6">
        <v>120.0</v>
      </c>
      <c r="B124" s="6" t="s">
        <v>34</v>
      </c>
      <c r="C124" s="6" t="s">
        <v>665</v>
      </c>
      <c r="D124" s="6" t="s">
        <v>666</v>
      </c>
      <c r="E124" s="6" t="s">
        <v>37</v>
      </c>
      <c r="F124" s="43" t="s">
        <v>77</v>
      </c>
      <c r="G124" s="7" t="s">
        <v>667</v>
      </c>
      <c r="H124" s="38" t="s">
        <v>668</v>
      </c>
      <c r="I124" s="6" t="s">
        <v>669</v>
      </c>
      <c r="J124" s="12"/>
      <c r="K124" s="6"/>
    </row>
    <row r="125" ht="15.75" customHeight="1">
      <c r="A125" s="6">
        <v>121.0</v>
      </c>
      <c r="B125" s="6" t="s">
        <v>71</v>
      </c>
      <c r="C125" s="6" t="s">
        <v>670</v>
      </c>
      <c r="D125" s="6" t="s">
        <v>671</v>
      </c>
      <c r="E125" s="6" t="s">
        <v>37</v>
      </c>
      <c r="F125" s="6" t="s">
        <v>472</v>
      </c>
      <c r="G125" s="7" t="s">
        <v>672</v>
      </c>
      <c r="H125" s="38" t="s">
        <v>147</v>
      </c>
      <c r="I125" s="43" t="s">
        <v>147</v>
      </c>
      <c r="J125" s="12"/>
      <c r="K125" s="6"/>
    </row>
    <row r="126" ht="15.75" customHeight="1">
      <c r="A126" s="6">
        <v>122.0</v>
      </c>
      <c r="B126" s="6" t="s">
        <v>71</v>
      </c>
      <c r="C126" s="6" t="s">
        <v>673</v>
      </c>
      <c r="D126" s="6" t="s">
        <v>674</v>
      </c>
      <c r="E126" s="6" t="s">
        <v>21</v>
      </c>
      <c r="F126" s="6" t="s">
        <v>675</v>
      </c>
      <c r="G126" s="7" t="s">
        <v>676</v>
      </c>
      <c r="H126" s="38" t="s">
        <v>677</v>
      </c>
      <c r="I126" s="39" t="s">
        <v>678</v>
      </c>
      <c r="J126" s="12"/>
      <c r="K126" s="6"/>
    </row>
    <row r="127" ht="15.75" customHeight="1">
      <c r="A127" s="6">
        <v>123.0</v>
      </c>
      <c r="B127" s="6" t="s">
        <v>71</v>
      </c>
      <c r="C127" s="6" t="s">
        <v>679</v>
      </c>
      <c r="D127" s="6" t="s">
        <v>680</v>
      </c>
      <c r="E127" s="6" t="s">
        <v>396</v>
      </c>
      <c r="F127" s="6" t="s">
        <v>472</v>
      </c>
      <c r="G127" s="7" t="s">
        <v>681</v>
      </c>
      <c r="H127" s="38" t="s">
        <v>682</v>
      </c>
      <c r="I127" s="39" t="s">
        <v>683</v>
      </c>
      <c r="J127" s="12"/>
      <c r="K127" s="6"/>
    </row>
    <row r="128" ht="15.75" customHeight="1">
      <c r="A128" s="6">
        <v>124.0</v>
      </c>
      <c r="B128" s="6" t="s">
        <v>71</v>
      </c>
      <c r="C128" s="6" t="s">
        <v>684</v>
      </c>
      <c r="D128" s="6" t="s">
        <v>685</v>
      </c>
      <c r="E128" s="6" t="s">
        <v>37</v>
      </c>
      <c r="F128" s="6" t="s">
        <v>686</v>
      </c>
      <c r="G128" s="7" t="s">
        <v>687</v>
      </c>
      <c r="H128" s="38" t="s">
        <v>147</v>
      </c>
      <c r="I128" s="43" t="s">
        <v>147</v>
      </c>
      <c r="J128" s="12"/>
      <c r="K128" s="6"/>
    </row>
    <row r="129" ht="15.75" customHeight="1">
      <c r="A129" s="6">
        <v>125.0</v>
      </c>
      <c r="B129" s="6" t="s">
        <v>71</v>
      </c>
      <c r="C129" s="6" t="s">
        <v>688</v>
      </c>
      <c r="D129" s="6" t="s">
        <v>471</v>
      </c>
      <c r="E129" s="6" t="s">
        <v>21</v>
      </c>
      <c r="F129" s="6" t="s">
        <v>689</v>
      </c>
      <c r="G129" s="7" t="s">
        <v>690</v>
      </c>
      <c r="H129" s="38" t="s">
        <v>474</v>
      </c>
      <c r="I129" s="39" t="s">
        <v>691</v>
      </c>
      <c r="J129" s="12"/>
      <c r="K129" s="6"/>
    </row>
    <row r="130" ht="15.75" customHeight="1">
      <c r="A130" s="6">
        <v>126.0</v>
      </c>
      <c r="B130" s="6" t="s">
        <v>71</v>
      </c>
      <c r="C130" s="6" t="s">
        <v>692</v>
      </c>
      <c r="D130" s="6" t="s">
        <v>693</v>
      </c>
      <c r="E130" s="6" t="s">
        <v>37</v>
      </c>
      <c r="F130" s="6" t="s">
        <v>472</v>
      </c>
      <c r="G130" s="7" t="s">
        <v>694</v>
      </c>
      <c r="H130" s="38" t="s">
        <v>695</v>
      </c>
      <c r="I130" s="39" t="s">
        <v>696</v>
      </c>
      <c r="J130" s="12"/>
      <c r="K130" s="6"/>
    </row>
    <row r="131" ht="15.75" customHeight="1">
      <c r="A131" s="6">
        <v>127.0</v>
      </c>
      <c r="B131" s="6" t="s">
        <v>71</v>
      </c>
      <c r="C131" s="6" t="s">
        <v>697</v>
      </c>
      <c r="D131" s="6" t="s">
        <v>698</v>
      </c>
      <c r="E131" s="6" t="s">
        <v>37</v>
      </c>
      <c r="F131" s="6" t="s">
        <v>472</v>
      </c>
      <c r="G131" s="7" t="s">
        <v>699</v>
      </c>
      <c r="H131" s="38" t="s">
        <v>700</v>
      </c>
      <c r="I131" s="6" t="s">
        <v>701</v>
      </c>
      <c r="J131" s="12"/>
      <c r="K131" s="6"/>
    </row>
    <row r="132" ht="15.75" customHeight="1">
      <c r="A132" s="6">
        <v>128.0</v>
      </c>
      <c r="B132" s="6" t="s">
        <v>71</v>
      </c>
      <c r="C132" s="6" t="s">
        <v>702</v>
      </c>
      <c r="D132" s="6" t="s">
        <v>703</v>
      </c>
      <c r="E132" s="6" t="s">
        <v>37</v>
      </c>
      <c r="F132" s="6" t="s">
        <v>704</v>
      </c>
      <c r="G132" s="7" t="s">
        <v>705</v>
      </c>
      <c r="H132" s="38" t="s">
        <v>706</v>
      </c>
      <c r="I132" s="6" t="s">
        <v>707</v>
      </c>
      <c r="J132" s="12"/>
      <c r="K132" s="6"/>
    </row>
    <row r="133" ht="15.75" customHeight="1">
      <c r="A133" s="6">
        <v>129.0</v>
      </c>
      <c r="B133" s="6" t="s">
        <v>71</v>
      </c>
      <c r="C133" s="6" t="s">
        <v>708</v>
      </c>
      <c r="D133" s="6" t="s">
        <v>709</v>
      </c>
      <c r="E133" s="6" t="s">
        <v>37</v>
      </c>
      <c r="F133" s="6" t="s">
        <v>710</v>
      </c>
      <c r="G133" s="38" t="s">
        <v>147</v>
      </c>
      <c r="H133" s="38" t="s">
        <v>147</v>
      </c>
      <c r="I133" s="38" t="s">
        <v>147</v>
      </c>
      <c r="J133" s="12"/>
      <c r="K133" s="6"/>
    </row>
    <row r="134" ht="15.75" customHeight="1">
      <c r="A134" s="6">
        <v>130.0</v>
      </c>
      <c r="B134" s="6" t="s">
        <v>71</v>
      </c>
      <c r="C134" s="6" t="s">
        <v>711</v>
      </c>
      <c r="D134" s="6" t="s">
        <v>712</v>
      </c>
      <c r="E134" s="6" t="s">
        <v>21</v>
      </c>
      <c r="F134" s="6" t="s">
        <v>713</v>
      </c>
      <c r="G134" s="7" t="s">
        <v>714</v>
      </c>
      <c r="H134" s="23"/>
      <c r="I134" s="6" t="s">
        <v>715</v>
      </c>
      <c r="J134" s="12"/>
      <c r="K134" s="6"/>
    </row>
    <row r="135" ht="15.75" customHeight="1">
      <c r="A135" s="6">
        <v>131.0</v>
      </c>
      <c r="B135" s="6" t="s">
        <v>71</v>
      </c>
      <c r="C135" s="6" t="s">
        <v>716</v>
      </c>
      <c r="D135" s="6" t="s">
        <v>717</v>
      </c>
      <c r="E135" s="6" t="s">
        <v>37</v>
      </c>
      <c r="F135" s="6" t="s">
        <v>718</v>
      </c>
      <c r="G135" s="7" t="s">
        <v>719</v>
      </c>
      <c r="H135" s="23"/>
      <c r="I135" s="6" t="s">
        <v>720</v>
      </c>
      <c r="J135" s="12"/>
      <c r="K135" s="6"/>
    </row>
    <row r="136" ht="15.75" customHeight="1">
      <c r="A136" s="6">
        <v>132.0</v>
      </c>
      <c r="B136" s="6" t="s">
        <v>73</v>
      </c>
      <c r="C136" s="6" t="s">
        <v>665</v>
      </c>
      <c r="D136" s="6" t="s">
        <v>721</v>
      </c>
      <c r="E136" s="6" t="s">
        <v>37</v>
      </c>
      <c r="F136" s="12"/>
      <c r="G136" s="7" t="s">
        <v>722</v>
      </c>
      <c r="H136" s="23"/>
      <c r="I136" s="6" t="s">
        <v>669</v>
      </c>
      <c r="J136" s="12"/>
      <c r="K136" s="6"/>
    </row>
    <row r="137" ht="15.75" customHeight="1">
      <c r="A137" s="6">
        <v>133.0</v>
      </c>
      <c r="B137" s="6" t="s">
        <v>73</v>
      </c>
      <c r="C137" s="6" t="s">
        <v>723</v>
      </c>
      <c r="D137" s="6" t="s">
        <v>724</v>
      </c>
      <c r="E137" s="6" t="s">
        <v>21</v>
      </c>
      <c r="F137" s="12"/>
      <c r="G137" s="7" t="s">
        <v>725</v>
      </c>
      <c r="H137" s="23"/>
      <c r="I137" s="6" t="s">
        <v>726</v>
      </c>
      <c r="J137" s="12"/>
      <c r="K137" s="6"/>
    </row>
    <row r="138" ht="15.75" customHeight="1">
      <c r="A138" s="6">
        <v>134.0</v>
      </c>
      <c r="B138" s="6" t="s">
        <v>73</v>
      </c>
      <c r="C138" s="6" t="s">
        <v>727</v>
      </c>
      <c r="D138" s="6" t="s">
        <v>728</v>
      </c>
      <c r="E138" s="6" t="s">
        <v>62</v>
      </c>
      <c r="F138" s="12"/>
      <c r="G138" s="23"/>
      <c r="H138" s="23"/>
      <c r="I138" s="12"/>
      <c r="J138" s="12"/>
      <c r="K138" s="6"/>
    </row>
    <row r="139" ht="15.75" customHeight="1">
      <c r="A139" s="6">
        <v>135.0</v>
      </c>
      <c r="B139" s="6" t="s">
        <v>73</v>
      </c>
      <c r="C139" s="6" t="s">
        <v>729</v>
      </c>
      <c r="D139" s="6" t="s">
        <v>730</v>
      </c>
      <c r="E139" s="6" t="s">
        <v>62</v>
      </c>
      <c r="F139" s="12"/>
      <c r="G139" s="23"/>
      <c r="H139" s="23"/>
      <c r="I139" s="12"/>
      <c r="J139" s="44" t="s">
        <v>731</v>
      </c>
      <c r="K139" s="6"/>
    </row>
    <row r="140" ht="15.75" customHeight="1">
      <c r="A140" s="6">
        <v>136.0</v>
      </c>
      <c r="B140" s="6" t="s">
        <v>73</v>
      </c>
      <c r="C140" s="6" t="s">
        <v>732</v>
      </c>
      <c r="D140" s="6" t="s">
        <v>733</v>
      </c>
      <c r="E140" s="6" t="s">
        <v>21</v>
      </c>
      <c r="F140" s="12"/>
      <c r="G140" s="23"/>
      <c r="H140" s="23"/>
      <c r="I140" s="12"/>
      <c r="J140" s="12"/>
      <c r="K140" s="6"/>
    </row>
    <row r="141" ht="15.75" customHeight="1">
      <c r="A141" s="6">
        <v>137.0</v>
      </c>
      <c r="B141" s="6" t="s">
        <v>73</v>
      </c>
      <c r="C141" s="6" t="s">
        <v>734</v>
      </c>
      <c r="D141" s="6" t="s">
        <v>735</v>
      </c>
      <c r="E141" s="6" t="s">
        <v>62</v>
      </c>
      <c r="F141" s="12"/>
      <c r="G141" s="7" t="s">
        <v>736</v>
      </c>
      <c r="H141" s="23"/>
      <c r="I141" s="6" t="s">
        <v>737</v>
      </c>
      <c r="J141" s="12"/>
      <c r="K141" s="6"/>
    </row>
    <row r="142" ht="15.75" customHeight="1">
      <c r="A142" s="6">
        <v>138.0</v>
      </c>
      <c r="B142" s="6" t="s">
        <v>73</v>
      </c>
      <c r="C142" s="6" t="s">
        <v>55</v>
      </c>
      <c r="D142" s="6" t="s">
        <v>738</v>
      </c>
      <c r="E142" s="6" t="s">
        <v>739</v>
      </c>
      <c r="F142" s="12"/>
      <c r="G142" s="23"/>
      <c r="H142" s="23"/>
      <c r="I142" s="12"/>
      <c r="J142" s="12"/>
      <c r="K142" s="6"/>
    </row>
    <row r="143" ht="15.75" customHeight="1">
      <c r="A143" s="6">
        <v>139.0</v>
      </c>
      <c r="B143" s="6" t="s">
        <v>73</v>
      </c>
      <c r="C143" s="6" t="s">
        <v>740</v>
      </c>
      <c r="D143" s="6" t="s">
        <v>741</v>
      </c>
      <c r="E143" s="6" t="s">
        <v>37</v>
      </c>
      <c r="F143" s="12"/>
      <c r="G143" s="23"/>
      <c r="H143" s="23"/>
      <c r="I143" s="12"/>
      <c r="J143" s="12"/>
      <c r="K143" s="6"/>
    </row>
    <row r="144" ht="15.75" customHeight="1">
      <c r="A144" s="6">
        <v>140.0</v>
      </c>
      <c r="B144" s="6" t="s">
        <v>73</v>
      </c>
      <c r="C144" s="6" t="s">
        <v>742</v>
      </c>
      <c r="D144" s="6" t="s">
        <v>743</v>
      </c>
      <c r="E144" s="6" t="s">
        <v>37</v>
      </c>
      <c r="F144" s="12"/>
      <c r="G144" s="23"/>
      <c r="H144" s="23"/>
      <c r="I144" s="12"/>
      <c r="J144" s="12"/>
      <c r="K144" s="6"/>
    </row>
    <row r="145" ht="15.75" customHeight="1">
      <c r="A145" s="6">
        <v>141.0</v>
      </c>
      <c r="B145" s="6" t="s">
        <v>73</v>
      </c>
      <c r="C145" s="6" t="s">
        <v>744</v>
      </c>
      <c r="D145" s="6" t="s">
        <v>745</v>
      </c>
      <c r="E145" s="6" t="s">
        <v>37</v>
      </c>
      <c r="F145" s="12"/>
      <c r="G145" s="23"/>
      <c r="H145" s="23"/>
      <c r="I145" s="12"/>
      <c r="J145" s="12"/>
      <c r="K145" s="6"/>
    </row>
    <row r="146" ht="15.75" customHeight="1">
      <c r="A146" s="6">
        <v>142.0</v>
      </c>
      <c r="B146" s="6" t="s">
        <v>73</v>
      </c>
      <c r="C146" s="6" t="s">
        <v>746</v>
      </c>
      <c r="D146" s="6" t="s">
        <v>747</v>
      </c>
      <c r="E146" s="6" t="s">
        <v>37</v>
      </c>
      <c r="F146" s="12"/>
      <c r="G146" s="7" t="s">
        <v>748</v>
      </c>
      <c r="H146" s="23"/>
      <c r="I146" s="6" t="s">
        <v>749</v>
      </c>
      <c r="J146" s="12"/>
      <c r="K146" s="6"/>
    </row>
    <row r="147" ht="15.75" customHeight="1">
      <c r="A147" s="6">
        <v>143.0</v>
      </c>
      <c r="B147" s="6" t="s">
        <v>73</v>
      </c>
      <c r="C147" s="6" t="s">
        <v>750</v>
      </c>
      <c r="D147" s="6" t="s">
        <v>751</v>
      </c>
      <c r="E147" s="6" t="s">
        <v>37</v>
      </c>
      <c r="F147" s="12"/>
      <c r="G147" s="7" t="s">
        <v>752</v>
      </c>
      <c r="H147" s="23"/>
      <c r="I147" s="6" t="s">
        <v>753</v>
      </c>
      <c r="J147" s="12"/>
      <c r="K147" s="6"/>
    </row>
    <row r="148" ht="15.75" customHeight="1">
      <c r="A148" s="6">
        <v>144.0</v>
      </c>
      <c r="B148" s="6" t="s">
        <v>73</v>
      </c>
      <c r="C148" s="6" t="s">
        <v>754</v>
      </c>
      <c r="D148" s="6" t="s">
        <v>755</v>
      </c>
      <c r="E148" s="6" t="s">
        <v>37</v>
      </c>
      <c r="F148" s="12"/>
      <c r="G148" s="23"/>
      <c r="H148" s="23"/>
      <c r="I148" s="12"/>
      <c r="J148" s="12"/>
      <c r="K148" s="6"/>
    </row>
    <row r="149" ht="15.75" customHeight="1">
      <c r="A149" s="6">
        <v>145.0</v>
      </c>
      <c r="B149" s="6" t="s">
        <v>73</v>
      </c>
      <c r="C149" s="6" t="s">
        <v>756</v>
      </c>
      <c r="D149" s="6" t="s">
        <v>757</v>
      </c>
      <c r="E149" s="6" t="s">
        <v>758</v>
      </c>
      <c r="F149" s="12"/>
      <c r="G149" s="23"/>
      <c r="H149" s="23"/>
      <c r="I149" s="12"/>
      <c r="J149" s="12"/>
      <c r="K149" s="6"/>
    </row>
    <row r="150" ht="15.75" customHeight="1">
      <c r="A150" s="6">
        <v>146.0</v>
      </c>
      <c r="B150" s="6" t="s">
        <v>73</v>
      </c>
      <c r="C150" s="6" t="s">
        <v>759</v>
      </c>
      <c r="D150" s="6" t="s">
        <v>760</v>
      </c>
      <c r="E150" s="6" t="s">
        <v>21</v>
      </c>
      <c r="F150" s="12"/>
      <c r="G150" s="23"/>
      <c r="H150" s="23"/>
      <c r="I150" s="12"/>
      <c r="J150" s="12"/>
      <c r="K150" s="6"/>
    </row>
    <row r="151" ht="15.75" customHeight="1">
      <c r="A151" s="6">
        <v>147.0</v>
      </c>
      <c r="B151" s="6" t="s">
        <v>73</v>
      </c>
      <c r="C151" s="6" t="s">
        <v>759</v>
      </c>
      <c r="D151" s="6" t="s">
        <v>761</v>
      </c>
      <c r="E151" s="6" t="s">
        <v>21</v>
      </c>
      <c r="F151" s="12"/>
      <c r="G151" s="23"/>
      <c r="H151" s="23"/>
      <c r="I151" s="12"/>
      <c r="J151" s="12"/>
      <c r="K151" s="6"/>
    </row>
    <row r="152" ht="15.75" customHeight="1">
      <c r="A152" s="6">
        <v>148.0</v>
      </c>
      <c r="B152" s="6" t="s">
        <v>73</v>
      </c>
      <c r="C152" s="6" t="s">
        <v>762</v>
      </c>
      <c r="D152" s="6" t="s">
        <v>763</v>
      </c>
      <c r="E152" s="6" t="s">
        <v>37</v>
      </c>
      <c r="F152" s="12"/>
      <c r="G152" s="23"/>
      <c r="H152" s="23"/>
      <c r="I152" s="12"/>
      <c r="J152" s="12"/>
      <c r="K152" s="6"/>
    </row>
    <row r="153" ht="15.75" customHeight="1">
      <c r="A153" s="6">
        <v>149.0</v>
      </c>
      <c r="B153" s="6" t="s">
        <v>73</v>
      </c>
      <c r="C153" s="6" t="s">
        <v>764</v>
      </c>
      <c r="D153" s="6" t="s">
        <v>765</v>
      </c>
      <c r="E153" s="6" t="s">
        <v>37</v>
      </c>
      <c r="F153" s="12"/>
      <c r="G153" s="23"/>
      <c r="H153" s="23"/>
      <c r="I153" s="12"/>
      <c r="J153" s="12"/>
      <c r="K153" s="6"/>
    </row>
    <row r="154" ht="15.75" customHeight="1">
      <c r="A154" s="6">
        <v>150.0</v>
      </c>
      <c r="B154" s="6" t="s">
        <v>73</v>
      </c>
      <c r="C154" s="6" t="s">
        <v>766</v>
      </c>
      <c r="D154" s="6" t="s">
        <v>767</v>
      </c>
      <c r="E154" s="6" t="s">
        <v>62</v>
      </c>
      <c r="F154" s="12"/>
      <c r="G154" s="7" t="s">
        <v>768</v>
      </c>
      <c r="H154" s="23"/>
      <c r="I154" s="6" t="s">
        <v>769</v>
      </c>
      <c r="J154" s="12"/>
      <c r="K154" s="6"/>
    </row>
    <row r="155" ht="15.75" customHeight="1">
      <c r="A155" s="6">
        <v>151.0</v>
      </c>
      <c r="B155" s="6" t="s">
        <v>73</v>
      </c>
      <c r="C155" s="6" t="s">
        <v>770</v>
      </c>
      <c r="D155" s="6" t="s">
        <v>771</v>
      </c>
      <c r="E155" s="6" t="s">
        <v>772</v>
      </c>
      <c r="F155" s="12"/>
      <c r="G155" s="23"/>
      <c r="H155" s="23"/>
      <c r="I155" s="12"/>
      <c r="J155" s="12"/>
      <c r="K155" s="6"/>
    </row>
    <row r="156" ht="15.75" customHeight="1">
      <c r="A156" s="6">
        <v>152.0</v>
      </c>
      <c r="B156" s="6" t="s">
        <v>73</v>
      </c>
      <c r="C156" s="6" t="s">
        <v>773</v>
      </c>
      <c r="D156" s="6" t="s">
        <v>774</v>
      </c>
      <c r="E156" s="6" t="s">
        <v>37</v>
      </c>
      <c r="F156" s="12"/>
      <c r="G156" s="7" t="s">
        <v>775</v>
      </c>
      <c r="H156" s="23"/>
      <c r="I156" s="6" t="s">
        <v>776</v>
      </c>
      <c r="J156" s="12"/>
      <c r="K156" s="6"/>
    </row>
    <row r="157" ht="15.75" customHeight="1">
      <c r="A157" s="6">
        <v>153.0</v>
      </c>
      <c r="B157" s="6" t="s">
        <v>73</v>
      </c>
      <c r="C157" s="6" t="s">
        <v>60</v>
      </c>
      <c r="D157" s="6" t="s">
        <v>61</v>
      </c>
      <c r="E157" s="6" t="s">
        <v>62</v>
      </c>
      <c r="F157" s="12"/>
      <c r="G157" s="7" t="s">
        <v>64</v>
      </c>
      <c r="H157" s="23"/>
      <c r="I157" s="6" t="s">
        <v>66</v>
      </c>
      <c r="J157" s="12"/>
      <c r="K157" s="6"/>
    </row>
    <row r="158" ht="15.75" customHeight="1">
      <c r="A158" s="6">
        <v>154.0</v>
      </c>
      <c r="B158" s="6" t="s">
        <v>73</v>
      </c>
      <c r="C158" s="6" t="s">
        <v>777</v>
      </c>
      <c r="D158" s="6" t="s">
        <v>778</v>
      </c>
      <c r="E158" s="6" t="s">
        <v>37</v>
      </c>
      <c r="F158" s="12"/>
      <c r="G158" s="23"/>
      <c r="H158" s="23"/>
      <c r="I158" s="12"/>
      <c r="J158" s="12"/>
      <c r="K158" s="6"/>
    </row>
    <row r="159" ht="15.75" customHeight="1">
      <c r="A159" s="6">
        <v>155.0</v>
      </c>
      <c r="B159" s="6" t="s">
        <v>73</v>
      </c>
      <c r="C159" s="6" t="s">
        <v>779</v>
      </c>
      <c r="D159" s="6" t="s">
        <v>780</v>
      </c>
      <c r="E159" s="6" t="s">
        <v>37</v>
      </c>
      <c r="F159" s="12"/>
      <c r="G159" s="23"/>
      <c r="H159" s="23"/>
      <c r="I159" s="6" t="s">
        <v>781</v>
      </c>
      <c r="J159" s="12"/>
      <c r="K159" s="6"/>
    </row>
    <row r="160" ht="15.75" customHeight="1">
      <c r="A160" s="6">
        <v>156.0</v>
      </c>
      <c r="B160" s="6" t="s">
        <v>73</v>
      </c>
      <c r="C160" s="6" t="s">
        <v>782</v>
      </c>
      <c r="D160" s="6" t="s">
        <v>783</v>
      </c>
      <c r="E160" s="6" t="s">
        <v>21</v>
      </c>
      <c r="F160" s="12"/>
      <c r="G160" s="23"/>
      <c r="H160" s="23"/>
      <c r="I160" s="12"/>
      <c r="J160" s="12"/>
      <c r="K160" s="6"/>
    </row>
    <row r="161" ht="15.75" customHeight="1">
      <c r="A161" s="6">
        <v>157.0</v>
      </c>
      <c r="B161" s="6" t="s">
        <v>73</v>
      </c>
      <c r="C161" s="6" t="s">
        <v>784</v>
      </c>
      <c r="D161" s="6" t="s">
        <v>785</v>
      </c>
      <c r="E161" s="6" t="s">
        <v>62</v>
      </c>
      <c r="F161" s="12"/>
      <c r="G161" s="7" t="s">
        <v>786</v>
      </c>
      <c r="H161" s="23"/>
      <c r="I161" s="6" t="s">
        <v>787</v>
      </c>
      <c r="J161" s="12"/>
      <c r="K161" s="6"/>
    </row>
    <row r="162" ht="15.75" customHeight="1">
      <c r="A162" s="6">
        <v>158.0</v>
      </c>
      <c r="B162" s="6" t="s">
        <v>73</v>
      </c>
      <c r="C162" s="6" t="s">
        <v>788</v>
      </c>
      <c r="D162" s="6" t="s">
        <v>789</v>
      </c>
      <c r="E162" s="6" t="s">
        <v>790</v>
      </c>
      <c r="F162" s="12"/>
      <c r="G162" s="23"/>
      <c r="H162" s="23"/>
      <c r="I162" s="12"/>
      <c r="J162" s="44" t="s">
        <v>731</v>
      </c>
      <c r="K162" s="6"/>
    </row>
    <row r="163" ht="15.75" customHeight="1">
      <c r="A163" s="6">
        <v>159.0</v>
      </c>
      <c r="B163" s="6" t="s">
        <v>73</v>
      </c>
      <c r="C163" s="6" t="s">
        <v>791</v>
      </c>
      <c r="D163" s="6" t="s">
        <v>792</v>
      </c>
      <c r="E163" s="6" t="s">
        <v>37</v>
      </c>
      <c r="F163" s="12"/>
      <c r="G163" s="23"/>
      <c r="H163" s="23"/>
      <c r="I163" s="12"/>
      <c r="J163" s="12"/>
      <c r="K163" s="6"/>
    </row>
    <row r="164" ht="15.75" customHeight="1">
      <c r="A164" s="6">
        <v>160.0</v>
      </c>
      <c r="B164" s="6" t="s">
        <v>73</v>
      </c>
      <c r="C164" s="6" t="s">
        <v>793</v>
      </c>
      <c r="D164" s="6" t="s">
        <v>794</v>
      </c>
      <c r="E164" s="6" t="s">
        <v>37</v>
      </c>
      <c r="F164" s="12"/>
      <c r="G164" s="23"/>
      <c r="H164" s="23"/>
      <c r="I164" s="12"/>
      <c r="J164" s="12"/>
      <c r="K164" s="6"/>
    </row>
    <row r="165" ht="15.75" customHeight="1">
      <c r="A165" s="6">
        <v>161.0</v>
      </c>
      <c r="B165" s="6" t="s">
        <v>73</v>
      </c>
      <c r="C165" s="6" t="s">
        <v>795</v>
      </c>
      <c r="D165" s="6" t="s">
        <v>796</v>
      </c>
      <c r="E165" s="6" t="s">
        <v>37</v>
      </c>
      <c r="F165" s="12"/>
      <c r="G165" s="23"/>
      <c r="H165" s="23"/>
      <c r="I165" s="6" t="s">
        <v>797</v>
      </c>
      <c r="J165" s="12"/>
      <c r="K165" s="6"/>
    </row>
    <row r="166" ht="15.75" customHeight="1">
      <c r="A166" s="6">
        <v>162.0</v>
      </c>
      <c r="B166" s="6" t="s">
        <v>73</v>
      </c>
      <c r="C166" s="6" t="s">
        <v>798</v>
      </c>
      <c r="D166" s="6" t="s">
        <v>799</v>
      </c>
      <c r="E166" s="6" t="s">
        <v>37</v>
      </c>
      <c r="F166" s="12"/>
      <c r="G166" s="23"/>
      <c r="H166" s="23"/>
      <c r="I166" s="12"/>
      <c r="J166" s="12"/>
      <c r="K166" s="6"/>
    </row>
    <row r="167" ht="15.75" customHeight="1">
      <c r="A167" s="6">
        <v>163.0</v>
      </c>
      <c r="B167" s="6" t="s">
        <v>73</v>
      </c>
      <c r="C167" s="6" t="s">
        <v>800</v>
      </c>
      <c r="D167" s="6" t="s">
        <v>801</v>
      </c>
      <c r="E167" s="6" t="s">
        <v>37</v>
      </c>
      <c r="F167" s="12"/>
      <c r="G167" s="23"/>
      <c r="H167" s="23"/>
      <c r="I167" s="12"/>
      <c r="J167" s="12"/>
      <c r="K167" s="6"/>
    </row>
    <row r="168" ht="15.75" customHeight="1">
      <c r="A168" s="6">
        <v>164.0</v>
      </c>
      <c r="B168" s="6" t="s">
        <v>73</v>
      </c>
      <c r="C168" s="6" t="s">
        <v>802</v>
      </c>
      <c r="D168" s="6" t="s">
        <v>803</v>
      </c>
      <c r="E168" s="6" t="s">
        <v>62</v>
      </c>
      <c r="F168" s="12"/>
      <c r="G168" s="23"/>
      <c r="H168" s="23"/>
      <c r="I168" s="6" t="s">
        <v>480</v>
      </c>
      <c r="J168" s="12"/>
      <c r="K168" s="6"/>
    </row>
    <row r="169" ht="15.75" customHeight="1">
      <c r="A169" s="6">
        <v>165.0</v>
      </c>
      <c r="B169" s="6" t="s">
        <v>73</v>
      </c>
      <c r="C169" s="6" t="s">
        <v>804</v>
      </c>
      <c r="D169" s="6" t="s">
        <v>805</v>
      </c>
      <c r="E169" s="6" t="s">
        <v>37</v>
      </c>
      <c r="F169" s="12"/>
      <c r="G169" s="23"/>
      <c r="H169" s="23"/>
      <c r="I169" s="6" t="s">
        <v>806</v>
      </c>
      <c r="J169" s="12"/>
      <c r="K169" s="6"/>
    </row>
    <row r="170" ht="15.75" customHeight="1">
      <c r="A170" s="6">
        <v>166.0</v>
      </c>
      <c r="B170" s="6" t="s">
        <v>73</v>
      </c>
      <c r="C170" s="6" t="s">
        <v>807</v>
      </c>
      <c r="D170" s="6" t="s">
        <v>808</v>
      </c>
      <c r="E170" s="6" t="s">
        <v>62</v>
      </c>
      <c r="F170" s="12"/>
      <c r="G170" s="23"/>
      <c r="H170" s="23"/>
      <c r="I170" s="12"/>
      <c r="J170" s="12"/>
      <c r="K170" s="6"/>
    </row>
    <row r="171" ht="15.75" customHeight="1">
      <c r="A171" s="6">
        <v>167.0</v>
      </c>
      <c r="B171" s="6" t="s">
        <v>73</v>
      </c>
      <c r="C171" s="6" t="s">
        <v>809</v>
      </c>
      <c r="D171" s="6" t="s">
        <v>810</v>
      </c>
      <c r="E171" s="6" t="s">
        <v>37</v>
      </c>
      <c r="F171" s="12"/>
      <c r="G171" s="23"/>
      <c r="H171" s="23"/>
      <c r="I171" s="12"/>
      <c r="J171" s="12"/>
      <c r="K171" s="6"/>
    </row>
    <row r="172" ht="15.75" customHeight="1">
      <c r="A172" s="6">
        <v>168.0</v>
      </c>
      <c r="B172" s="6" t="s">
        <v>73</v>
      </c>
      <c r="C172" s="6" t="s">
        <v>811</v>
      </c>
      <c r="D172" s="6" t="s">
        <v>812</v>
      </c>
      <c r="E172" s="6" t="s">
        <v>37</v>
      </c>
      <c r="F172" s="12"/>
      <c r="G172" s="23"/>
      <c r="H172" s="23"/>
      <c r="I172" s="12"/>
      <c r="J172" s="12"/>
      <c r="K172" s="6"/>
    </row>
    <row r="173" ht="15.75" customHeight="1">
      <c r="A173" s="6">
        <v>169.0</v>
      </c>
      <c r="B173" s="6" t="s">
        <v>73</v>
      </c>
      <c r="C173" s="6" t="s">
        <v>813</v>
      </c>
      <c r="D173" s="6" t="s">
        <v>814</v>
      </c>
      <c r="E173" s="6" t="s">
        <v>37</v>
      </c>
      <c r="F173" s="12"/>
      <c r="G173" s="7" t="s">
        <v>815</v>
      </c>
      <c r="H173" s="23"/>
      <c r="I173" s="6" t="s">
        <v>816</v>
      </c>
      <c r="J173" s="12"/>
      <c r="K173" s="6"/>
    </row>
    <row r="174" ht="15.75" customHeight="1">
      <c r="A174" s="6">
        <v>170.0</v>
      </c>
      <c r="B174" s="6" t="s">
        <v>73</v>
      </c>
      <c r="C174" s="6" t="s">
        <v>817</v>
      </c>
      <c r="D174" s="6" t="s">
        <v>818</v>
      </c>
      <c r="E174" s="6" t="s">
        <v>37</v>
      </c>
      <c r="F174" s="12"/>
      <c r="G174" s="7" t="s">
        <v>819</v>
      </c>
      <c r="H174" s="23"/>
      <c r="I174" s="6" t="s">
        <v>820</v>
      </c>
      <c r="J174" s="12"/>
      <c r="K174" s="6"/>
    </row>
    <row r="175" ht="15.75" customHeight="1">
      <c r="A175" s="6">
        <v>171.0</v>
      </c>
      <c r="B175" s="6" t="s">
        <v>73</v>
      </c>
      <c r="C175" s="6" t="s">
        <v>821</v>
      </c>
      <c r="D175" s="6" t="s">
        <v>822</v>
      </c>
      <c r="E175" s="6" t="s">
        <v>823</v>
      </c>
      <c r="F175" s="12"/>
      <c r="G175" s="7" t="s">
        <v>824</v>
      </c>
      <c r="H175" s="23"/>
      <c r="I175" s="6" t="s">
        <v>825</v>
      </c>
      <c r="J175" s="44" t="s">
        <v>731</v>
      </c>
      <c r="K175" s="6"/>
    </row>
    <row r="176" ht="15.75" customHeight="1">
      <c r="A176" s="6">
        <v>172.0</v>
      </c>
      <c r="B176" s="6" t="s">
        <v>73</v>
      </c>
      <c r="C176" s="6" t="s">
        <v>826</v>
      </c>
      <c r="D176" s="6" t="s">
        <v>827</v>
      </c>
      <c r="E176" s="6" t="s">
        <v>37</v>
      </c>
      <c r="F176" s="12"/>
      <c r="G176" s="7" t="s">
        <v>828</v>
      </c>
      <c r="H176" s="23"/>
      <c r="I176" s="6" t="s">
        <v>829</v>
      </c>
      <c r="J176" s="12"/>
      <c r="K176" s="6"/>
    </row>
    <row r="177" ht="15.75" customHeight="1">
      <c r="A177" s="6">
        <v>173.0</v>
      </c>
      <c r="B177" s="6" t="s">
        <v>73</v>
      </c>
      <c r="C177" s="6" t="s">
        <v>830</v>
      </c>
      <c r="D177" s="6" t="s">
        <v>831</v>
      </c>
      <c r="E177" s="6" t="s">
        <v>832</v>
      </c>
      <c r="F177" s="12"/>
      <c r="G177" s="7" t="s">
        <v>833</v>
      </c>
      <c r="H177" s="23"/>
      <c r="I177" s="6" t="s">
        <v>834</v>
      </c>
      <c r="J177" s="12"/>
      <c r="K177" s="6"/>
    </row>
    <row r="178" ht="15.75" customHeight="1">
      <c r="A178" s="6">
        <v>174.0</v>
      </c>
      <c r="B178" s="6" t="s">
        <v>73</v>
      </c>
      <c r="C178" s="6" t="s">
        <v>835</v>
      </c>
      <c r="D178" s="6" t="s">
        <v>836</v>
      </c>
      <c r="E178" s="6" t="s">
        <v>62</v>
      </c>
      <c r="F178" s="12"/>
      <c r="G178" s="23"/>
      <c r="H178" s="23"/>
      <c r="I178" s="12"/>
      <c r="J178" s="44" t="s">
        <v>731</v>
      </c>
      <c r="K178" s="6"/>
    </row>
    <row r="179" ht="15.75" customHeight="1">
      <c r="A179" s="6">
        <v>175.0</v>
      </c>
      <c r="B179" s="6" t="s">
        <v>73</v>
      </c>
      <c r="C179" s="6" t="s">
        <v>837</v>
      </c>
      <c r="D179" s="6" t="s">
        <v>838</v>
      </c>
      <c r="E179" s="6" t="s">
        <v>62</v>
      </c>
      <c r="F179" s="12"/>
      <c r="G179" s="23"/>
      <c r="H179" s="23"/>
      <c r="I179" s="12"/>
      <c r="J179" s="12"/>
      <c r="K179" s="6"/>
    </row>
    <row r="180" ht="15.75" customHeight="1">
      <c r="A180" s="6">
        <v>176.0</v>
      </c>
      <c r="B180" s="6" t="s">
        <v>73</v>
      </c>
      <c r="C180" s="6" t="s">
        <v>154</v>
      </c>
      <c r="D180" s="6" t="s">
        <v>839</v>
      </c>
      <c r="E180" s="6" t="s">
        <v>37</v>
      </c>
      <c r="F180" s="12"/>
      <c r="G180" s="23"/>
      <c r="H180" s="23"/>
      <c r="I180" s="6" t="s">
        <v>159</v>
      </c>
      <c r="J180" s="12"/>
      <c r="K180" s="6"/>
    </row>
    <row r="181" ht="15.75" customHeight="1">
      <c r="A181" s="6">
        <v>177.0</v>
      </c>
      <c r="B181" s="6" t="s">
        <v>73</v>
      </c>
      <c r="C181" s="6" t="s">
        <v>840</v>
      </c>
      <c r="D181" s="6" t="s">
        <v>841</v>
      </c>
      <c r="E181" s="6" t="s">
        <v>62</v>
      </c>
      <c r="F181" s="12"/>
      <c r="G181" s="23"/>
      <c r="H181" s="23"/>
      <c r="I181" s="6" t="s">
        <v>842</v>
      </c>
      <c r="J181" s="12"/>
      <c r="K181" s="6"/>
    </row>
    <row r="182" ht="15.75" customHeight="1">
      <c r="A182" s="6">
        <v>178.0</v>
      </c>
      <c r="B182" s="6" t="s">
        <v>73</v>
      </c>
      <c r="C182" s="6" t="s">
        <v>843</v>
      </c>
      <c r="D182" s="6" t="s">
        <v>844</v>
      </c>
      <c r="E182" s="6" t="s">
        <v>37</v>
      </c>
      <c r="F182" s="12"/>
      <c r="G182" s="23"/>
      <c r="H182" s="23"/>
      <c r="I182" s="6" t="s">
        <v>845</v>
      </c>
      <c r="J182" s="12"/>
      <c r="K182" s="6"/>
    </row>
    <row r="183" ht="15.75" customHeight="1">
      <c r="A183" s="6">
        <v>179.0</v>
      </c>
      <c r="B183" s="6" t="s">
        <v>73</v>
      </c>
      <c r="C183" s="6" t="s">
        <v>846</v>
      </c>
      <c r="D183" s="6" t="s">
        <v>847</v>
      </c>
      <c r="E183" s="6" t="s">
        <v>62</v>
      </c>
      <c r="F183" s="12"/>
      <c r="G183" s="23"/>
      <c r="H183" s="23"/>
      <c r="I183" s="12"/>
      <c r="J183" s="44" t="s">
        <v>731</v>
      </c>
      <c r="K183" s="6"/>
    </row>
    <row r="184" ht="15.75" customHeight="1">
      <c r="A184" s="6">
        <v>180.0</v>
      </c>
      <c r="B184" s="6" t="s">
        <v>73</v>
      </c>
      <c r="C184" s="6" t="s">
        <v>848</v>
      </c>
      <c r="D184" s="6" t="s">
        <v>849</v>
      </c>
      <c r="E184" s="6" t="s">
        <v>62</v>
      </c>
      <c r="F184" s="12"/>
      <c r="G184" s="23"/>
      <c r="H184" s="23"/>
      <c r="I184" s="12"/>
      <c r="J184" s="12"/>
      <c r="K184" s="6"/>
    </row>
    <row r="185" ht="15.75" customHeight="1">
      <c r="A185" s="6">
        <v>181.0</v>
      </c>
      <c r="B185" s="6" t="s">
        <v>73</v>
      </c>
      <c r="C185" s="6" t="s">
        <v>850</v>
      </c>
      <c r="D185" s="6" t="s">
        <v>851</v>
      </c>
      <c r="E185" s="6" t="s">
        <v>21</v>
      </c>
      <c r="F185" s="12"/>
      <c r="G185" s="7" t="s">
        <v>852</v>
      </c>
      <c r="H185" s="23"/>
      <c r="I185" s="6" t="s">
        <v>853</v>
      </c>
      <c r="J185" s="12"/>
      <c r="K185" s="6"/>
    </row>
    <row r="186" ht="15.75" customHeight="1">
      <c r="A186" s="6">
        <v>182.0</v>
      </c>
      <c r="B186" s="6" t="s">
        <v>73</v>
      </c>
      <c r="C186" s="6" t="s">
        <v>854</v>
      </c>
      <c r="D186" s="6" t="s">
        <v>855</v>
      </c>
      <c r="E186" s="6" t="s">
        <v>62</v>
      </c>
      <c r="F186" s="12"/>
      <c r="G186" s="23"/>
      <c r="H186" s="23"/>
      <c r="I186" s="6" t="s">
        <v>856</v>
      </c>
      <c r="J186" s="12"/>
      <c r="K186" s="6"/>
    </row>
    <row r="187" ht="15.75" customHeight="1">
      <c r="A187" s="6">
        <v>183.0</v>
      </c>
      <c r="B187" s="6" t="s">
        <v>73</v>
      </c>
      <c r="C187" s="6" t="s">
        <v>857</v>
      </c>
      <c r="D187" s="6" t="s">
        <v>858</v>
      </c>
      <c r="E187" s="6" t="s">
        <v>37</v>
      </c>
      <c r="F187" s="12"/>
      <c r="G187" s="23"/>
      <c r="H187" s="23"/>
      <c r="I187" s="12"/>
      <c r="J187" s="12"/>
      <c r="K187" s="6"/>
    </row>
    <row r="188" ht="15.75" customHeight="1">
      <c r="A188" s="6">
        <v>184.0</v>
      </c>
      <c r="B188" s="6" t="s">
        <v>73</v>
      </c>
      <c r="C188" s="6" t="s">
        <v>859</v>
      </c>
      <c r="D188" s="6" t="s">
        <v>860</v>
      </c>
      <c r="E188" s="6" t="s">
        <v>37</v>
      </c>
      <c r="F188" s="12"/>
      <c r="G188" s="23"/>
      <c r="H188" s="23"/>
      <c r="I188" s="6" t="s">
        <v>861</v>
      </c>
      <c r="J188" s="12"/>
      <c r="K188" s="6"/>
    </row>
    <row r="189" ht="15.75" customHeight="1">
      <c r="A189" s="6">
        <v>185.0</v>
      </c>
      <c r="B189" s="6" t="s">
        <v>73</v>
      </c>
      <c r="C189" s="6" t="s">
        <v>862</v>
      </c>
      <c r="D189" s="6" t="s">
        <v>863</v>
      </c>
      <c r="E189" s="6" t="s">
        <v>37</v>
      </c>
      <c r="F189" s="12"/>
      <c r="G189" s="23"/>
      <c r="H189" s="23"/>
      <c r="I189" s="12"/>
      <c r="J189" s="44" t="s">
        <v>731</v>
      </c>
      <c r="K189" s="6"/>
    </row>
    <row r="190" ht="15.75" customHeight="1">
      <c r="A190" s="6">
        <v>186.0</v>
      </c>
      <c r="B190" s="6" t="s">
        <v>73</v>
      </c>
      <c r="C190" s="6" t="s">
        <v>864</v>
      </c>
      <c r="D190" s="6" t="s">
        <v>865</v>
      </c>
      <c r="E190" s="6" t="s">
        <v>62</v>
      </c>
      <c r="F190" s="12"/>
      <c r="G190" s="23"/>
      <c r="H190" s="23"/>
      <c r="I190" s="12"/>
      <c r="J190" s="12"/>
      <c r="K190" s="6"/>
    </row>
    <row r="191" ht="15.75" customHeight="1">
      <c r="A191" s="6">
        <v>187.0</v>
      </c>
      <c r="B191" s="6" t="s">
        <v>73</v>
      </c>
      <c r="C191" s="6" t="s">
        <v>866</v>
      </c>
      <c r="D191" s="6" t="s">
        <v>867</v>
      </c>
      <c r="E191" s="6" t="s">
        <v>62</v>
      </c>
      <c r="F191" s="12"/>
      <c r="G191" s="23"/>
      <c r="H191" s="23"/>
      <c r="I191" s="6" t="s">
        <v>868</v>
      </c>
      <c r="J191" s="12"/>
      <c r="K191" s="6"/>
    </row>
    <row r="192" ht="15.75" customHeight="1">
      <c r="A192" s="6">
        <v>188.0</v>
      </c>
      <c r="B192" s="6" t="s">
        <v>73</v>
      </c>
      <c r="C192" s="6" t="s">
        <v>869</v>
      </c>
      <c r="D192" s="6" t="s">
        <v>870</v>
      </c>
      <c r="E192" s="6" t="s">
        <v>37</v>
      </c>
      <c r="F192" s="12"/>
      <c r="G192" s="23"/>
      <c r="H192" s="23"/>
      <c r="I192" s="12"/>
      <c r="J192" s="12"/>
      <c r="K192" s="6"/>
    </row>
    <row r="193" ht="15.75" customHeight="1">
      <c r="A193" s="6">
        <v>189.0</v>
      </c>
      <c r="B193" s="6" t="s">
        <v>73</v>
      </c>
      <c r="C193" s="6" t="s">
        <v>871</v>
      </c>
      <c r="D193" s="6" t="s">
        <v>872</v>
      </c>
      <c r="E193" s="6" t="s">
        <v>37</v>
      </c>
      <c r="F193" s="12"/>
      <c r="G193" s="23"/>
      <c r="H193" s="23"/>
      <c r="I193" s="6" t="s">
        <v>873</v>
      </c>
      <c r="J193" s="12"/>
      <c r="K193" s="6"/>
    </row>
    <row r="194" ht="15.75" customHeight="1">
      <c r="A194" s="6">
        <v>190.0</v>
      </c>
      <c r="B194" s="6" t="s">
        <v>73</v>
      </c>
      <c r="C194" s="6" t="s">
        <v>874</v>
      </c>
      <c r="D194" s="6" t="s">
        <v>875</v>
      </c>
      <c r="E194" s="6" t="s">
        <v>37</v>
      </c>
      <c r="F194" s="12"/>
      <c r="G194" s="23"/>
      <c r="H194" s="23"/>
      <c r="I194" s="12"/>
      <c r="J194" s="12"/>
      <c r="K194" s="6"/>
    </row>
    <row r="195" ht="15.75" customHeight="1">
      <c r="A195" s="6">
        <v>191.0</v>
      </c>
      <c r="B195" s="6" t="s">
        <v>73</v>
      </c>
      <c r="C195" s="6" t="s">
        <v>876</v>
      </c>
      <c r="D195" s="6" t="s">
        <v>877</v>
      </c>
      <c r="E195" s="6" t="s">
        <v>62</v>
      </c>
      <c r="F195" s="12"/>
      <c r="G195" s="23"/>
      <c r="H195" s="23"/>
      <c r="I195" s="12"/>
      <c r="J195" s="12"/>
      <c r="K195" s="6"/>
    </row>
    <row r="196" ht="15.75" customHeight="1">
      <c r="A196" s="6">
        <v>192.0</v>
      </c>
      <c r="B196" s="6" t="s">
        <v>73</v>
      </c>
      <c r="C196" s="6" t="s">
        <v>878</v>
      </c>
      <c r="D196" s="6" t="s">
        <v>879</v>
      </c>
      <c r="E196" s="6" t="s">
        <v>62</v>
      </c>
      <c r="F196" s="12"/>
      <c r="G196" s="7" t="s">
        <v>880</v>
      </c>
      <c r="H196" s="23"/>
      <c r="I196" s="12"/>
      <c r="J196" s="12"/>
      <c r="K196" s="6"/>
    </row>
    <row r="197" ht="15.75" customHeight="1">
      <c r="A197" s="6">
        <v>193.0</v>
      </c>
      <c r="B197" s="6" t="s">
        <v>73</v>
      </c>
      <c r="C197" s="6" t="s">
        <v>881</v>
      </c>
      <c r="D197" s="6" t="s">
        <v>882</v>
      </c>
      <c r="E197" s="6" t="s">
        <v>37</v>
      </c>
      <c r="F197" s="12"/>
      <c r="G197" s="7" t="s">
        <v>883</v>
      </c>
      <c r="H197" s="23"/>
      <c r="I197" s="6" t="s">
        <v>884</v>
      </c>
      <c r="J197" s="12"/>
      <c r="K197" s="6"/>
    </row>
    <row r="198" ht="15.75" customHeight="1">
      <c r="A198" s="6">
        <v>194.0</v>
      </c>
      <c r="B198" s="6" t="s">
        <v>73</v>
      </c>
      <c r="C198" s="6" t="s">
        <v>885</v>
      </c>
      <c r="D198" s="6" t="s">
        <v>886</v>
      </c>
      <c r="E198" s="6" t="s">
        <v>37</v>
      </c>
      <c r="F198" s="12"/>
      <c r="G198" s="7" t="s">
        <v>887</v>
      </c>
      <c r="H198" s="23"/>
      <c r="I198" s="6" t="s">
        <v>888</v>
      </c>
      <c r="J198" s="12"/>
      <c r="K198" s="6"/>
    </row>
    <row r="199" ht="15.75" customHeight="1">
      <c r="A199" s="6">
        <v>195.0</v>
      </c>
      <c r="B199" s="6" t="s">
        <v>73</v>
      </c>
      <c r="C199" s="6" t="s">
        <v>325</v>
      </c>
      <c r="D199" s="6" t="s">
        <v>326</v>
      </c>
      <c r="E199" s="6" t="s">
        <v>62</v>
      </c>
      <c r="F199" s="12"/>
      <c r="G199" s="23"/>
      <c r="H199" s="23"/>
      <c r="I199" s="12"/>
      <c r="J199" s="12"/>
      <c r="K199" s="6"/>
    </row>
    <row r="200" ht="15.75" customHeight="1">
      <c r="A200" s="6">
        <v>196.0</v>
      </c>
      <c r="B200" s="6" t="s">
        <v>73</v>
      </c>
      <c r="C200" s="6" t="s">
        <v>185</v>
      </c>
      <c r="D200" s="6" t="s">
        <v>889</v>
      </c>
      <c r="E200" s="6" t="s">
        <v>62</v>
      </c>
      <c r="F200" s="12"/>
      <c r="G200" s="7" t="s">
        <v>188</v>
      </c>
      <c r="H200" s="23"/>
      <c r="I200" s="6" t="s">
        <v>190</v>
      </c>
      <c r="J200" s="12"/>
      <c r="K200" s="6"/>
    </row>
    <row r="201" ht="15.75" customHeight="1">
      <c r="A201" s="6">
        <v>197.0</v>
      </c>
      <c r="B201" s="6" t="s">
        <v>73</v>
      </c>
      <c r="C201" s="6" t="s">
        <v>890</v>
      </c>
      <c r="D201" s="6" t="s">
        <v>891</v>
      </c>
      <c r="E201" s="6" t="s">
        <v>37</v>
      </c>
      <c r="F201" s="12"/>
      <c r="G201" s="23"/>
      <c r="H201" s="23"/>
      <c r="I201" s="6" t="s">
        <v>892</v>
      </c>
      <c r="J201" s="12"/>
      <c r="K201" s="6"/>
    </row>
    <row r="202" ht="15.75" customHeight="1">
      <c r="A202" s="6">
        <v>198.0</v>
      </c>
      <c r="B202" s="6" t="s">
        <v>73</v>
      </c>
      <c r="C202" s="6" t="s">
        <v>893</v>
      </c>
      <c r="D202" s="6" t="s">
        <v>894</v>
      </c>
      <c r="E202" s="6" t="s">
        <v>62</v>
      </c>
      <c r="F202" s="12"/>
      <c r="G202" s="7" t="s">
        <v>895</v>
      </c>
      <c r="H202" s="23"/>
      <c r="I202" s="6" t="s">
        <v>896</v>
      </c>
      <c r="J202" s="12"/>
      <c r="K202" s="6"/>
    </row>
    <row r="203" ht="15.75" customHeight="1">
      <c r="A203" s="6">
        <v>199.0</v>
      </c>
      <c r="B203" s="6" t="s">
        <v>73</v>
      </c>
      <c r="C203" s="6" t="s">
        <v>897</v>
      </c>
      <c r="D203" s="6" t="s">
        <v>898</v>
      </c>
      <c r="E203" s="6" t="s">
        <v>62</v>
      </c>
      <c r="F203" s="12"/>
      <c r="G203" s="7" t="s">
        <v>899</v>
      </c>
      <c r="H203" s="23"/>
      <c r="I203" s="6" t="s">
        <v>900</v>
      </c>
      <c r="J203" s="12"/>
      <c r="K203" s="6"/>
    </row>
    <row r="204" ht="15.75" customHeight="1">
      <c r="A204" s="6">
        <v>200.0</v>
      </c>
      <c r="B204" s="6" t="s">
        <v>73</v>
      </c>
      <c r="C204" s="6" t="s">
        <v>901</v>
      </c>
      <c r="D204" s="6" t="s">
        <v>902</v>
      </c>
      <c r="E204" s="6" t="s">
        <v>37</v>
      </c>
      <c r="F204" s="12"/>
      <c r="G204" s="23"/>
      <c r="H204" s="7" t="s">
        <v>903</v>
      </c>
      <c r="I204" s="6" t="s">
        <v>904</v>
      </c>
      <c r="J204" s="12"/>
      <c r="K204" s="6"/>
    </row>
    <row r="205" ht="15.75" customHeight="1">
      <c r="A205" s="6">
        <v>201.0</v>
      </c>
      <c r="B205" s="6" t="s">
        <v>73</v>
      </c>
      <c r="C205" s="6" t="s">
        <v>905</v>
      </c>
      <c r="D205" s="6" t="s">
        <v>906</v>
      </c>
      <c r="E205" s="6" t="s">
        <v>37</v>
      </c>
      <c r="F205" s="12"/>
      <c r="G205" s="23"/>
      <c r="H205" s="23"/>
      <c r="I205" s="12"/>
      <c r="J205" s="12"/>
      <c r="K205" s="6"/>
    </row>
    <row r="206" ht="15.75" customHeight="1">
      <c r="A206" s="6">
        <v>202.0</v>
      </c>
      <c r="B206" s="6" t="s">
        <v>73</v>
      </c>
      <c r="C206" s="6" t="s">
        <v>907</v>
      </c>
      <c r="D206" s="6" t="s">
        <v>908</v>
      </c>
      <c r="E206" s="6" t="s">
        <v>62</v>
      </c>
      <c r="F206" s="12"/>
      <c r="G206" s="7" t="s">
        <v>909</v>
      </c>
      <c r="H206" s="23"/>
      <c r="I206" s="6" t="s">
        <v>910</v>
      </c>
      <c r="J206" s="12"/>
      <c r="K206" s="6"/>
    </row>
    <row r="207" ht="15.75" customHeight="1">
      <c r="A207" s="6">
        <v>203.0</v>
      </c>
      <c r="B207" s="6" t="s">
        <v>73</v>
      </c>
      <c r="C207" s="6" t="s">
        <v>911</v>
      </c>
      <c r="D207" s="6" t="s">
        <v>912</v>
      </c>
      <c r="E207" s="6" t="s">
        <v>37</v>
      </c>
      <c r="F207" s="12"/>
      <c r="G207" s="7" t="s">
        <v>913</v>
      </c>
      <c r="H207" s="23"/>
      <c r="I207" s="6" t="s">
        <v>914</v>
      </c>
      <c r="J207" s="12"/>
      <c r="K207" s="6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K$207"/>
  <dataValidations>
    <dataValidation type="list" allowBlank="1" sqref="J2:J82 J83:K83 J84 J85:K85 J86:J207">
      <formula1>"Yes,No"</formula1>
    </dataValidation>
  </dataValidations>
  <hyperlinks>
    <hyperlink r:id="rId1" ref="H2"/>
    <hyperlink r:id="rId2" ref="I2"/>
    <hyperlink r:id="rId3" ref="G3"/>
    <hyperlink r:id="rId4" ref="H4"/>
    <hyperlink r:id="rId5" ref="H5"/>
    <hyperlink r:id="rId6" ref="G6"/>
    <hyperlink r:id="rId7" ref="H6"/>
    <hyperlink r:id="rId8" ref="G8"/>
    <hyperlink r:id="rId9" ref="G9"/>
    <hyperlink r:id="rId10" ref="H9"/>
    <hyperlink r:id="rId11" ref="H10"/>
    <hyperlink r:id="rId12" ref="G11"/>
    <hyperlink r:id="rId13" ref="G12"/>
    <hyperlink r:id="rId14" ref="G13"/>
    <hyperlink r:id="rId15" ref="H14"/>
    <hyperlink r:id="rId16" ref="G15"/>
    <hyperlink r:id="rId17" ref="G16"/>
    <hyperlink r:id="rId18" ref="H16"/>
    <hyperlink r:id="rId19" ref="G17"/>
    <hyperlink r:id="rId20" ref="H18"/>
    <hyperlink r:id="rId21" ref="H19"/>
    <hyperlink r:id="rId22" ref="G21"/>
    <hyperlink r:id="rId23" ref="G22"/>
    <hyperlink r:id="rId24" ref="G26"/>
    <hyperlink r:id="rId25" ref="H31"/>
    <hyperlink r:id="rId26" ref="I31"/>
    <hyperlink r:id="rId27" ref="H32"/>
    <hyperlink r:id="rId28" ref="G33"/>
    <hyperlink r:id="rId29" ref="G34"/>
    <hyperlink r:id="rId30" ref="G35"/>
    <hyperlink r:id="rId31" ref="H35"/>
    <hyperlink r:id="rId32" ref="G38"/>
    <hyperlink r:id="rId33" ref="G42"/>
    <hyperlink r:id="rId34" ref="H51"/>
    <hyperlink r:id="rId35" ref="G53"/>
    <hyperlink r:id="rId36" ref="H53"/>
    <hyperlink r:id="rId37" ref="H54"/>
    <hyperlink r:id="rId38" ref="H56"/>
    <hyperlink r:id="rId39" ref="G58"/>
    <hyperlink r:id="rId40" ref="H58"/>
    <hyperlink r:id="rId41" ref="H59"/>
    <hyperlink r:id="rId42" ref="H60"/>
    <hyperlink r:id="rId43" ref="G61"/>
    <hyperlink r:id="rId44" ref="H61"/>
    <hyperlink r:id="rId45" ref="G62"/>
    <hyperlink r:id="rId46" ref="G63"/>
    <hyperlink r:id="rId47" ref="H63"/>
    <hyperlink r:id="rId48" ref="G64"/>
    <hyperlink r:id="rId49" ref="H69"/>
    <hyperlink r:id="rId50" ref="G70"/>
    <hyperlink r:id="rId51" ref="H70"/>
    <hyperlink r:id="rId52" ref="G71"/>
    <hyperlink r:id="rId53" ref="H71"/>
    <hyperlink r:id="rId54" ref="G72"/>
    <hyperlink r:id="rId55" ref="H72"/>
    <hyperlink r:id="rId56" ref="H73"/>
    <hyperlink r:id="rId57" ref="I73"/>
    <hyperlink r:id="rId58" ref="G75"/>
    <hyperlink r:id="rId59" ref="G76"/>
    <hyperlink r:id="rId60" ref="H76"/>
    <hyperlink r:id="rId61" ref="H78"/>
    <hyperlink r:id="rId62" ref="G81"/>
    <hyperlink r:id="rId63" ref="H81"/>
    <hyperlink r:id="rId64" ref="H82"/>
    <hyperlink r:id="rId65" ref="H83"/>
    <hyperlink r:id="rId66" ref="H84"/>
    <hyperlink r:id="rId67" ref="H88"/>
    <hyperlink r:id="rId68" ref="H89"/>
    <hyperlink r:id="rId69" ref="H92"/>
    <hyperlink r:id="rId70" ref="H93"/>
    <hyperlink r:id="rId71" ref="H95"/>
    <hyperlink r:id="rId72" ref="H96"/>
    <hyperlink r:id="rId73" ref="H97"/>
    <hyperlink r:id="rId74" ref="H98"/>
    <hyperlink r:id="rId75" ref="H99"/>
    <hyperlink r:id="rId76" ref="H102"/>
    <hyperlink r:id="rId77" ref="I102"/>
    <hyperlink r:id="rId78" ref="H103"/>
    <hyperlink r:id="rId79" ref="H108"/>
    <hyperlink r:id="rId80" ref="I111"/>
    <hyperlink r:id="rId81" ref="I112"/>
    <hyperlink r:id="rId82" ref="I113"/>
    <hyperlink r:id="rId83" ref="I114"/>
    <hyperlink r:id="rId84" ref="I115"/>
    <hyperlink r:id="rId85" ref="I116"/>
    <hyperlink r:id="rId86" ref="I120"/>
    <hyperlink r:id="rId87" ref="I121"/>
    <hyperlink r:id="rId88" ref="I123"/>
    <hyperlink r:id="rId89" ref="I126"/>
    <hyperlink r:id="rId90" ref="I127"/>
    <hyperlink r:id="rId91" ref="I129"/>
    <hyperlink r:id="rId92" ref="I130"/>
  </hyperlinks>
  <printOptions/>
  <pageMargins bottom="1.0" footer="0.0" header="0.0" left="0.75" right="0.75" top="1.0"/>
  <pageSetup paperSize="9" orientation="portrait"/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8" width="20.0"/>
    <col customWidth="1" min="9" max="26" width="8.71"/>
  </cols>
  <sheetData>
    <row r="1">
      <c r="A1" s="1" t="s">
        <v>0</v>
      </c>
    </row>
    <row r="2">
      <c r="A2" s="3" t="s">
        <v>2</v>
      </c>
    </row>
    <row r="4">
      <c r="A4" s="4" t="s">
        <v>8</v>
      </c>
    </row>
    <row r="5">
      <c r="A5" s="5" t="s">
        <v>13</v>
      </c>
      <c r="B5" s="3" t="s">
        <v>15</v>
      </c>
    </row>
    <row r="6">
      <c r="A6" s="5" t="s">
        <v>16</v>
      </c>
      <c r="B6" s="3" t="s">
        <v>17</v>
      </c>
    </row>
    <row r="7">
      <c r="A7" s="5" t="s">
        <v>22</v>
      </c>
      <c r="B7" s="3" t="s">
        <v>24</v>
      </c>
    </row>
    <row r="8">
      <c r="A8" s="5" t="s">
        <v>26</v>
      </c>
      <c r="B8" s="3" t="s">
        <v>27</v>
      </c>
    </row>
    <row r="9">
      <c r="A9" s="5" t="s">
        <v>28</v>
      </c>
      <c r="B9" s="3" t="s">
        <v>29</v>
      </c>
    </row>
    <row r="10">
      <c r="A10" s="5" t="s">
        <v>30</v>
      </c>
      <c r="B10" s="3" t="s">
        <v>31</v>
      </c>
    </row>
    <row r="12">
      <c r="A12" s="4" t="s">
        <v>32</v>
      </c>
    </row>
    <row r="13">
      <c r="A13" s="8" t="s">
        <v>3</v>
      </c>
      <c r="B13" s="8" t="s">
        <v>4</v>
      </c>
      <c r="C13" s="8" t="s">
        <v>5</v>
      </c>
      <c r="D13" s="8" t="s">
        <v>6</v>
      </c>
      <c r="E13" s="8" t="s">
        <v>7</v>
      </c>
      <c r="F13" s="8" t="s">
        <v>9</v>
      </c>
      <c r="G13" s="8" t="s">
        <v>10</v>
      </c>
      <c r="H13" s="8" t="s">
        <v>11</v>
      </c>
    </row>
    <row r="14">
      <c r="A14" s="10" t="s">
        <v>34</v>
      </c>
      <c r="B14" s="10" t="s">
        <v>35</v>
      </c>
      <c r="C14" s="10" t="s">
        <v>36</v>
      </c>
      <c r="D14" s="10" t="s">
        <v>37</v>
      </c>
      <c r="E14" s="10" t="s">
        <v>38</v>
      </c>
      <c r="F14" s="10" t="s">
        <v>39</v>
      </c>
      <c r="G14" s="10" t="s">
        <v>40</v>
      </c>
      <c r="H14" s="10" t="s">
        <v>41</v>
      </c>
    </row>
    <row r="15">
      <c r="A15" s="3" t="s">
        <v>42</v>
      </c>
    </row>
    <row r="17">
      <c r="A17" s="4" t="s">
        <v>43</v>
      </c>
    </row>
    <row r="18">
      <c r="A18" s="8" t="s">
        <v>3</v>
      </c>
      <c r="B18" s="8" t="s">
        <v>44</v>
      </c>
      <c r="C18" s="8" t="s">
        <v>45</v>
      </c>
      <c r="D18" s="8" t="s">
        <v>46</v>
      </c>
      <c r="E18" s="8" t="s">
        <v>47</v>
      </c>
      <c r="F18" s="8" t="s">
        <v>48</v>
      </c>
    </row>
    <row r="19">
      <c r="A19" s="13" t="s">
        <v>18</v>
      </c>
      <c r="B19" s="13">
        <f>COUNTIF(Locations!$B$2:$B$207,$A19)</f>
        <v>79</v>
      </c>
      <c r="C19" s="13">
        <f>COUNTIFS(Locations!$B$2:$B$207,$A19,Locations!$G$2:$G$207,"")</f>
        <v>4</v>
      </c>
      <c r="D19" s="13">
        <f>COUNTIFS(Locations!$B$2:$B$207,$A19,Locations!$H$2:$H$207,"")</f>
        <v>3</v>
      </c>
      <c r="E19" s="13">
        <f>COUNTIFS(Locations!$B$2:$B$207,$A19,Locations!$I$2:$I$207,"")</f>
        <v>5</v>
      </c>
      <c r="F19" s="13">
        <f>COUNTIFS(Locations!$B$2:$B$207,$A19,Locations!$F$2:$F$207,"")</f>
        <v>0</v>
      </c>
    </row>
    <row r="20">
      <c r="A20" s="13" t="s">
        <v>34</v>
      </c>
      <c r="B20" s="13">
        <f>COUNTIF(Locations!$B$2:$B$207,$A20)</f>
        <v>43</v>
      </c>
      <c r="C20" s="13">
        <f>COUNTIFS(Locations!$B$2:$B$207,$A20,Locations!$G$2:$G$207,"")</f>
        <v>0</v>
      </c>
      <c r="D20" s="13">
        <f>COUNTIFS(Locations!$B$2:$B$207,$A20,Locations!$H$2:$H$207,"")</f>
        <v>0</v>
      </c>
      <c r="E20" s="13">
        <f>COUNTIFS(Locations!$B$2:$B$207,$A20,Locations!$I$2:$I$207,"")</f>
        <v>0</v>
      </c>
      <c r="F20" s="13">
        <f>COUNTIFS(Locations!$B$2:$B$207,$A20,Locations!$F$2:$F$207,"")</f>
        <v>0</v>
      </c>
    </row>
    <row r="21" ht="15.75" customHeight="1">
      <c r="A21" s="13" t="s">
        <v>71</v>
      </c>
      <c r="B21" s="13">
        <f>COUNTIF(Locations!$B$2:$B$207,$A21)</f>
        <v>11</v>
      </c>
      <c r="C21" s="13">
        <f>COUNTIFS(Locations!$B$2:$B$207,$A21,Locations!$G$2:$G$207,"")</f>
        <v>0</v>
      </c>
      <c r="D21" s="13">
        <f>COUNTIFS(Locations!$B$2:$B$207,$A21,Locations!$H$2:$H$207,"")</f>
        <v>2</v>
      </c>
      <c r="E21" s="13">
        <f>COUNTIFS(Locations!$B$2:$B$207,$A21,Locations!$I$2:$I$207,"")</f>
        <v>0</v>
      </c>
      <c r="F21" s="13">
        <f>COUNTIFS(Locations!$B$2:$B$207,$A21,Locations!$F$2:$F$207,"")</f>
        <v>0</v>
      </c>
    </row>
    <row r="22" ht="15.75" customHeight="1">
      <c r="A22" s="13" t="s">
        <v>73</v>
      </c>
      <c r="B22" s="13">
        <f>COUNTIF(Locations!$B$2:$B$207,$A22)</f>
        <v>72</v>
      </c>
      <c r="C22" s="13">
        <f>COUNTIFS(Locations!$B$2:$B$207,$A22,Locations!$G$2:$G$207,"")</f>
        <v>49</v>
      </c>
      <c r="D22" s="13">
        <f>COUNTIFS(Locations!$B$2:$B$207,$A22,Locations!$H$2:$H$207,"")</f>
        <v>71</v>
      </c>
      <c r="E22" s="13">
        <f>COUNTIFS(Locations!$B$2:$B$207,$A22,Locations!$I$2:$I$207,"")</f>
        <v>37</v>
      </c>
      <c r="F22" s="13">
        <f>COUNTIFS(Locations!$B$2:$B$207,$A22,Locations!$F$2:$F$207,"")</f>
        <v>72</v>
      </c>
    </row>
    <row r="23" ht="15.75" customHeight="1">
      <c r="A23" s="18" t="s">
        <v>85</v>
      </c>
      <c r="B23" s="19">
        <f t="shared" ref="B23:F23" si="1">SUM(B19:B22)</f>
        <v>205</v>
      </c>
      <c r="C23" s="19">
        <f t="shared" si="1"/>
        <v>53</v>
      </c>
      <c r="D23" s="19">
        <f t="shared" si="1"/>
        <v>76</v>
      </c>
      <c r="E23" s="19">
        <f t="shared" si="1"/>
        <v>42</v>
      </c>
      <c r="F23" s="19">
        <f t="shared" si="1"/>
        <v>72</v>
      </c>
    </row>
    <row r="24" ht="15.75" customHeight="1"/>
    <row r="25" ht="15.75" customHeight="1">
      <c r="A25" s="18" t="s">
        <v>90</v>
      </c>
      <c r="B25" s="13">
        <f>COUNTIF(Locations!$J$2:$J$207,"Yes")</f>
        <v>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2026-09-02T21:14:53Z</dcterms:created>
  <dc:creator>openpyxl</dc:creator>
</cp:coreProperties>
</file>